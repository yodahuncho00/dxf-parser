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1840" yWindow="1665" windowWidth="21120" windowHeight="10005" tabRatio="600" firstSheet="0" activeTab="0" autoFilterDateGrouping="1"/>
  </bookViews>
  <sheets>
    <sheet xmlns:r="http://schemas.openxmlformats.org/officeDocument/2006/relationships" name="Total" sheetId="1" state="visible" r:id="rId1"/>
    <sheet xmlns:r="http://schemas.openxmlformats.org/officeDocument/2006/relationships" name="Sheet1" sheetId="2" state="visible" r:id="rId2"/>
  </sheets>
  <definedNames>
    <definedName name="ExternalData_1" localSheetId="0" hidden="1">Total!$B$2:$N$969</definedName>
  </definedNames>
  <calcPr calcId="191029" fullCalcOnLoad="1" forceFullCalc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family val="2"/>
      <color rgb="FFFF0000"/>
      <sz val="11"/>
      <scheme val="minor"/>
    </font>
    <font>
      <name val="Calibri"/>
      <charset val="204"/>
      <family val="2"/>
      <b val="1"/>
      <color theme="1"/>
      <sz val="11"/>
      <scheme val="minor"/>
    </font>
    <font>
      <name val="Calibri"/>
      <b val="1"/>
      <sz val="11"/>
    </font>
    <font>
      <name val="Calibri"/>
      <sz val="11"/>
    </font>
    <font>
      <name val="Calibri"/>
      <family val="2"/>
      <sz val="11"/>
    </font>
  </fonts>
  <fills count="4">
    <fill>
      <patternFill/>
    </fill>
    <fill>
      <patternFill patternType="gray125"/>
    </fill>
    <fill>
      <patternFill patternType="solid">
        <fgColor rgb="FFC6EFCE"/>
        <bgColor rgb="FFC6EFCE"/>
      </patternFill>
    </fill>
    <fill>
      <patternFill patternType="solid">
        <fgColor rgb="00C6EFCE"/>
        <bgColor rgb="00C6EFCE"/>
      </patternFill>
    </fill>
  </fills>
  <borders count="8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/>
    <border>
      <top style="thin">
        <color rgb="00000000"/>
      </top>
      <bottom style="double">
        <color rgb="00000000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2"/>
  </cellStyleXfs>
  <cellXfs count="30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0" fontId="1" fillId="0" borderId="0" applyAlignment="1" pivotButton="0" quotePrefix="0" xfId="0">
      <alignment horizontal="right"/>
    </xf>
    <xf numFmtId="2" fontId="0" fillId="0" borderId="0" pivotButton="0" quotePrefix="0" xfId="0"/>
    <xf numFmtId="0" fontId="4" fillId="0" borderId="2" pivotButton="0" quotePrefix="0" xfId="0"/>
    <xf numFmtId="0" fontId="4" fillId="0" borderId="2" applyAlignment="1" pivotButton="0" quotePrefix="0" xfId="0">
      <alignment horizontal="left" vertical="center"/>
    </xf>
    <xf numFmtId="0" fontId="4" fillId="0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right" vertical="center"/>
    </xf>
    <xf numFmtId="0" fontId="4" fillId="0" borderId="2" applyAlignment="1" pivotButton="0" quotePrefix="0" xfId="0">
      <alignment horizontal="right"/>
    </xf>
    <xf numFmtId="0" fontId="4" fillId="2" borderId="3" applyAlignment="1" pivotButton="0" quotePrefix="0" xfId="0">
      <alignment horizontal="left" vertical="center"/>
    </xf>
    <xf numFmtId="0" fontId="4" fillId="2" borderId="3" applyAlignment="1" pivotButton="0" quotePrefix="0" xfId="0">
      <alignment horizontal="center" vertical="center"/>
    </xf>
    <xf numFmtId="0" fontId="4" fillId="2" borderId="3" applyAlignment="1" pivotButton="0" quotePrefix="0" xfId="0">
      <alignment horizontal="right" vertical="center"/>
    </xf>
    <xf numFmtId="0" fontId="3" fillId="0" borderId="4" applyAlignment="1" pivotButton="0" quotePrefix="0" xfId="0">
      <alignment horizontal="center" vertical="center"/>
    </xf>
    <xf numFmtId="0" fontId="3" fillId="0" borderId="4" pivotButton="0" quotePrefix="0" xfId="0"/>
    <xf numFmtId="0" fontId="3" fillId="0" borderId="4" applyAlignment="1" pivotButton="0" quotePrefix="0" xfId="0">
      <alignment horizontal="right" vertical="center"/>
    </xf>
    <xf numFmtId="0" fontId="5" fillId="2" borderId="3" applyAlignment="1" pivotButton="0" quotePrefix="0" xfId="0">
      <alignment horizontal="left" vertical="center"/>
    </xf>
    <xf numFmtId="0" fontId="4" fillId="0" borderId="5" pivotButton="0" quotePrefix="0" xfId="0"/>
    <xf numFmtId="0" fontId="4" fillId="0" borderId="5" applyAlignment="1" pivotButton="0" quotePrefix="0" xfId="0">
      <alignment horizontal="left" vertical="center"/>
    </xf>
    <xf numFmtId="0" fontId="4" fillId="0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right" vertical="center"/>
    </xf>
    <xf numFmtId="0" fontId="4" fillId="0" borderId="5" applyAlignment="1" pivotButton="0" quotePrefix="0" xfId="0">
      <alignment horizontal="right"/>
    </xf>
    <xf numFmtId="0" fontId="3" fillId="0" borderId="6" applyAlignment="1" pivotButton="0" quotePrefix="0" xfId="0">
      <alignment horizontal="center" vertical="center"/>
    </xf>
    <xf numFmtId="0" fontId="3" fillId="0" borderId="6" pivotButton="0" quotePrefix="0" xfId="0"/>
    <xf numFmtId="0" fontId="3" fillId="0" borderId="6" applyAlignment="1" pivotButton="0" quotePrefix="0" xfId="0">
      <alignment horizontal="right" vertical="center"/>
    </xf>
    <xf numFmtId="0" fontId="4" fillId="3" borderId="7" applyAlignment="1" pivotButton="0" quotePrefix="0" xfId="0">
      <alignment horizontal="left" vertical="center"/>
    </xf>
    <xf numFmtId="0" fontId="4" fillId="3" borderId="7" applyAlignment="1" pivotButton="0" quotePrefix="0" xfId="0">
      <alignment horizontal="center" vertical="center"/>
    </xf>
    <xf numFmtId="0" fontId="4" fillId="3" borderId="7" applyAlignment="1" pivotButton="0" quotePrefix="0" xfId="0">
      <alignment horizontal="right" vertical="center"/>
    </xf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pipe_bom_export" displayName="pipe_bom_export" ref="B2:N1026" headerRowCount="1">
  <autoFilter ref="B2:N1026"/>
  <tableColumns count="13">
    <tableColumn id="2" name="Drawing Number"/>
    <tableColumn id="3" name="Rev."/>
    <tableColumn id="4" name="Date"/>
    <tableColumn id="5" name="Reason for issue"/>
    <tableColumn id="6" name="Area"/>
    <tableColumn id="7" name="Pipe description"/>
    <tableColumn id="8" name="material"/>
    <tableColumn id="9" name="diameter"/>
    <tableColumn id="10" name="Sch."/>
    <tableColumn id="11" name="material code"/>
    <tableColumn id="12" name="Qty."/>
    <tableColumn id="13" name="ISO Base"/>
    <tableColumn id="14" name="Revision Status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27"/>
  <sheetViews>
    <sheetView tabSelected="1" zoomScale="70" zoomScaleNormal="70" workbookViewId="0">
      <selection activeCell="N978" sqref="N978"/>
    </sheetView>
  </sheetViews>
  <sheetFormatPr baseColWidth="8" defaultRowHeight="15"/>
  <cols>
    <col width="39" bestFit="1" customWidth="1" min="1" max="1"/>
    <col width="42" customWidth="1" min="2" max="2"/>
    <col width="12" customWidth="1" min="3" max="3"/>
    <col width="14" customWidth="1" min="4" max="4"/>
    <col width="33" customWidth="1" style="4" min="5" max="5"/>
    <col width="12" customWidth="1" style="6" min="6" max="6"/>
    <col width="73" customWidth="1" min="7" max="7"/>
    <col width="12" bestFit="1" customWidth="1" min="8" max="8"/>
    <col width="12" bestFit="1" customWidth="1" min="9" max="9"/>
    <col width="14" bestFit="1" customWidth="1" min="10" max="10"/>
    <col width="17" customWidth="1" min="11" max="11"/>
    <col width="12" customWidth="1" min="12" max="12"/>
    <col width="12" bestFit="1" customWidth="1" min="13" max="13"/>
    <col width="19" customWidth="1" min="14" max="14"/>
  </cols>
  <sheetData>
    <row r="1"/>
    <row r="2">
      <c r="B2" t="inlineStr">
        <is>
          <t>Drawing Number</t>
        </is>
      </c>
      <c r="C2" t="inlineStr">
        <is>
          <t>Rev.</t>
        </is>
      </c>
      <c r="D2" t="inlineStr">
        <is>
          <t>Date</t>
        </is>
      </c>
      <c r="E2" t="inlineStr">
        <is>
          <t>Reason for issue</t>
        </is>
      </c>
      <c r="F2" t="inlineStr">
        <is>
          <t>Area</t>
        </is>
      </c>
      <c r="G2" t="inlineStr">
        <is>
          <t>Pipe description</t>
        </is>
      </c>
      <c r="H2" t="inlineStr">
        <is>
          <t>material</t>
        </is>
      </c>
      <c r="I2" t="inlineStr">
        <is>
          <t>diameter</t>
        </is>
      </c>
      <c r="J2" t="inlineStr">
        <is>
          <t>Sch.</t>
        </is>
      </c>
      <c r="K2" t="inlineStr">
        <is>
          <t>material code</t>
        </is>
      </c>
      <c r="L2" t="inlineStr">
        <is>
          <t>Qty.</t>
        </is>
      </c>
      <c r="M2" t="inlineStr">
        <is>
          <t>ISO Base</t>
        </is>
      </c>
      <c r="N2" t="inlineStr">
        <is>
          <t>Revision Status</t>
        </is>
      </c>
    </row>
    <row r="3">
      <c r="A3" s="19" t="n"/>
      <c r="B3" s="20" t="inlineStr">
        <is>
          <t>4503-XH-DL-3152-8930-5026-CWS-01_Rev0</t>
        </is>
      </c>
      <c r="C3" s="21" t="n">
        <v>0</v>
      </c>
      <c r="D3" s="21" t="n">
        <v>46178</v>
      </c>
      <c r="E3" s="20" t="inlineStr">
        <is>
          <t>IFC - ISSUED FOR CONSTRUCTION</t>
        </is>
      </c>
      <c r="F3" s="21" t="n">
        <v>3152</v>
      </c>
      <c r="G3" s="20" t="inlineStr">
        <is>
          <t>PIPE B36.10/36.19 A333 6-SMLS BE BE</t>
        </is>
      </c>
      <c r="H3" s="20" t="inlineStr">
        <is>
          <t>A333</t>
        </is>
      </c>
      <c r="I3" s="22" t="n">
        <v>8</v>
      </c>
      <c r="J3" s="21" t="inlineStr">
        <is>
          <t>STD</t>
        </is>
      </c>
      <c r="K3" s="20" t="inlineStr">
        <is>
          <t>I64108766</t>
        </is>
      </c>
      <c r="L3" s="22" t="n">
        <v>0.7</v>
      </c>
      <c r="M3" s="20">
        <f>IFERROR(LEFT(B3,SEARCH("_Rev",B3)-1),B3)</f>
        <v/>
      </c>
      <c r="N3" s="20">
        <f>IF(B3="","",IF(ISNUMBER(C3),IF(COUNTIFS($M$3:$M$1026,M3,$C$3:$C$1026,"&gt;"&amp;C3)=0,"CURRENT","SUPERSEDED"),"CURRENT"))</f>
        <v/>
      </c>
      <c r="O3" s="19" t="n"/>
    </row>
    <row r="4">
      <c r="A4" s="19" t="n"/>
      <c r="B4" s="20" t="inlineStr">
        <is>
          <t>4503-XH-DL-3152-8930-5027-CWR-01_Rev0</t>
        </is>
      </c>
      <c r="C4" s="21" t="n">
        <v>0</v>
      </c>
      <c r="D4" s="21" t="n">
        <v>46178</v>
      </c>
      <c r="E4" s="20" t="inlineStr">
        <is>
          <t>IFC - ISSUED FOR CONSTRUCTION</t>
        </is>
      </c>
      <c r="F4" s="21" t="n">
        <v>3152</v>
      </c>
      <c r="G4" s="20" t="inlineStr">
        <is>
          <t>PIPE B36.10/36.19 A333 6-SMLS BE BE</t>
        </is>
      </c>
      <c r="H4" s="20" t="inlineStr">
        <is>
          <t>A333</t>
        </is>
      </c>
      <c r="I4" s="22" t="n">
        <v>8</v>
      </c>
      <c r="J4" s="21" t="inlineStr">
        <is>
          <t>STD</t>
        </is>
      </c>
      <c r="K4" s="20" t="inlineStr">
        <is>
          <t>I64108766</t>
        </is>
      </c>
      <c r="L4" s="22" t="n">
        <v>2.2</v>
      </c>
      <c r="M4" s="20">
        <f>IFERROR(LEFT(B4,SEARCH("_Rev",B4)-1),B4)</f>
        <v/>
      </c>
      <c r="N4" s="20">
        <f>IF(B4="","",IF(ISNUMBER(C4),IF(COUNTIFS($M$3:$M$1026,M4,$C$3:$C$1026,"&gt;"&amp;C4)=0,"CURRENT","SUPERSEDED"),"CURRENT"))</f>
        <v/>
      </c>
      <c r="O4" s="19" t="n"/>
    </row>
    <row r="5">
      <c r="A5" s="19" t="n"/>
      <c r="B5" s="20" t="inlineStr">
        <is>
          <t>4503-XH-DL-3152-8930-5028-CWR-01_Rev0</t>
        </is>
      </c>
      <c r="C5" s="21" t="n">
        <v>0</v>
      </c>
      <c r="D5" s="21" t="n">
        <v>46178</v>
      </c>
      <c r="E5" s="20" t="inlineStr">
        <is>
          <t>IFC - ISSUED FOR CONSTRUCTION</t>
        </is>
      </c>
      <c r="F5" s="21" t="n">
        <v>3152</v>
      </c>
      <c r="G5" s="20" t="inlineStr">
        <is>
          <t>PIPE B36.10/36.19 A333 6-SMLS PE PE</t>
        </is>
      </c>
      <c r="H5" s="20" t="inlineStr">
        <is>
          <t>A333</t>
        </is>
      </c>
      <c r="I5" s="22" t="n">
        <v>1</v>
      </c>
      <c r="J5" s="21" t="inlineStr">
        <is>
          <t>160</t>
        </is>
      </c>
      <c r="K5" s="20" t="inlineStr">
        <is>
          <t>I64108817</t>
        </is>
      </c>
      <c r="L5" s="22" t="n">
        <v>0.1</v>
      </c>
      <c r="M5" s="20">
        <f>IFERROR(LEFT(B5,SEARCH("_Rev",B5)-1),B5)</f>
        <v/>
      </c>
      <c r="N5" s="20">
        <f>IF(B5="","",IF(ISNUMBER(C5),IF(COUNTIFS($M$3:$M$1026,M5,$C$3:$C$1026,"&gt;"&amp;C5)=0,"CURRENT","SUPERSEDED"),"CURRENT"))</f>
        <v/>
      </c>
      <c r="O5" s="19" t="n"/>
    </row>
    <row r="6">
      <c r="A6" s="19" t="n"/>
      <c r="B6" s="20" t="inlineStr">
        <is>
          <t>4503-XH-DL-3152-8930-5034-CWS-01_Rev0</t>
        </is>
      </c>
      <c r="C6" s="21" t="n">
        <v>0</v>
      </c>
      <c r="D6" s="21" t="n">
        <v>46178</v>
      </c>
      <c r="E6" s="20" t="inlineStr">
        <is>
          <t>IFC - ISSUED FOR CONSTRUCTION</t>
        </is>
      </c>
      <c r="F6" s="21" t="n">
        <v>3152</v>
      </c>
      <c r="G6" s="20" t="inlineStr">
        <is>
          <t>PIPE B36.10/36.19 A333 6-SMLS PE PE</t>
        </is>
      </c>
      <c r="H6" s="20" t="inlineStr">
        <is>
          <t>A333</t>
        </is>
      </c>
      <c r="I6" s="22" t="n">
        <v>1</v>
      </c>
      <c r="J6" s="21" t="inlineStr">
        <is>
          <t>160</t>
        </is>
      </c>
      <c r="K6" s="20" t="inlineStr">
        <is>
          <t>I64108817</t>
        </is>
      </c>
      <c r="L6" s="22" t="n">
        <v>0.1</v>
      </c>
      <c r="M6" s="20">
        <f>IFERROR(LEFT(B6,SEARCH("_Rev",B6)-1),B6)</f>
        <v/>
      </c>
      <c r="N6" s="20">
        <f>IF(B6="","",IF(ISNUMBER(C6),IF(COUNTIFS($M$3:$M$1026,M6,$C$3:$C$1026,"&gt;"&amp;C6)=0,"CURRENT","SUPERSEDED"),"CURRENT"))</f>
        <v/>
      </c>
      <c r="O6" s="19" t="n"/>
    </row>
    <row r="7">
      <c r="A7" s="19" t="n"/>
      <c r="B7" s="20" t="inlineStr">
        <is>
          <t>4503-XH-DL-3156-3630-5064-CWR-01_Rev0</t>
        </is>
      </c>
      <c r="C7" s="21" t="n">
        <v>0</v>
      </c>
      <c r="D7" s="21" t="n">
        <v>46178</v>
      </c>
      <c r="E7" s="20" t="inlineStr">
        <is>
          <t>IFC - ISSUED FOR CONSTRUCTION</t>
        </is>
      </c>
      <c r="F7" s="21" t="n">
        <v>3156</v>
      </c>
      <c r="G7" s="20" t="inlineStr">
        <is>
          <t>PIPE B36.10/36.19 A333 6-SMLS PE PE</t>
        </is>
      </c>
      <c r="H7" s="20" t="inlineStr">
        <is>
          <t>A333</t>
        </is>
      </c>
      <c r="I7" s="22" t="n">
        <v>1</v>
      </c>
      <c r="J7" s="21" t="inlineStr">
        <is>
          <t>160</t>
        </is>
      </c>
      <c r="K7" s="20" t="inlineStr">
        <is>
          <t>I64108817</t>
        </is>
      </c>
      <c r="L7" s="22" t="n">
        <v>0.3</v>
      </c>
      <c r="M7" s="20">
        <f>IFERROR(LEFT(B7,SEARCH("_Rev",B7)-1),B7)</f>
        <v/>
      </c>
      <c r="N7" s="20">
        <f>IF(B7="","",IF(ISNUMBER(C7),IF(COUNTIFS($M$3:$M$1026,M7,$C$3:$C$1026,"&gt;"&amp;C7)=0,"CURRENT","SUPERSEDED"),"CURRENT"))</f>
        <v/>
      </c>
      <c r="O7" s="19" t="n"/>
    </row>
    <row r="8">
      <c r="A8" s="19" t="n"/>
      <c r="B8" s="20" t="inlineStr">
        <is>
          <t>4503-XH-DL-3156-3630-5064-CWS-01_Rev0</t>
        </is>
      </c>
      <c r="C8" s="21" t="n">
        <v>0</v>
      </c>
      <c r="D8" s="21" t="n">
        <v>46178</v>
      </c>
      <c r="E8" s="20" t="inlineStr">
        <is>
          <t>IFC - ISSUED FOR CONSTRUCTION</t>
        </is>
      </c>
      <c r="F8" s="21" t="n">
        <v>3156</v>
      </c>
      <c r="G8" s="20" t="inlineStr">
        <is>
          <t>PIPE B36.10/36.19 A333 6-SMLS PE PE</t>
        </is>
      </c>
      <c r="H8" s="20" t="inlineStr">
        <is>
          <t>A333</t>
        </is>
      </c>
      <c r="I8" s="22" t="n">
        <v>1</v>
      </c>
      <c r="J8" s="21" t="inlineStr">
        <is>
          <t>160</t>
        </is>
      </c>
      <c r="K8" s="20" t="inlineStr">
        <is>
          <t>I64108817</t>
        </is>
      </c>
      <c r="L8" s="22" t="n">
        <v>0.3</v>
      </c>
      <c r="M8" s="20">
        <f>IFERROR(LEFT(B8,SEARCH("_Rev",B8)-1),B8)</f>
        <v/>
      </c>
      <c r="N8" s="20">
        <f>IF(B8="","",IF(ISNUMBER(C8),IF(COUNTIFS($M$3:$M$1026,M8,$C$3:$C$1026,"&gt;"&amp;C8)=0,"CURRENT","SUPERSEDED"),"CURRENT"))</f>
        <v/>
      </c>
      <c r="O8" s="19" t="n"/>
    </row>
    <row r="9">
      <c r="A9" s="19" t="n"/>
      <c r="B9" s="20" t="inlineStr">
        <is>
          <t>4503-XH-DL-3156-3630-5065-CWR-01_Rev0</t>
        </is>
      </c>
      <c r="C9" s="21" t="n">
        <v>0</v>
      </c>
      <c r="D9" s="21" t="n">
        <v>46178</v>
      </c>
      <c r="E9" s="20" t="inlineStr">
        <is>
          <t>IFC - ISSUED FOR CONSTRUCTION</t>
        </is>
      </c>
      <c r="F9" s="21" t="n">
        <v>3156</v>
      </c>
      <c r="G9" s="20" t="inlineStr">
        <is>
          <t>PIPE B36.10/36.19 A333 6-SMLS PE PE</t>
        </is>
      </c>
      <c r="H9" s="20" t="inlineStr">
        <is>
          <t>A333</t>
        </is>
      </c>
      <c r="I9" s="22" t="n">
        <v>1</v>
      </c>
      <c r="J9" s="21" t="inlineStr">
        <is>
          <t>160</t>
        </is>
      </c>
      <c r="K9" s="20" t="inlineStr">
        <is>
          <t>I64108817</t>
        </is>
      </c>
      <c r="L9" s="22" t="n">
        <v>0.2</v>
      </c>
      <c r="M9" s="20">
        <f>IFERROR(LEFT(B9,SEARCH("_Rev",B9)-1),B9)</f>
        <v/>
      </c>
      <c r="N9" s="20">
        <f>IF(B9="","",IF(ISNUMBER(C9),IF(COUNTIFS($M$3:$M$1026,M9,$C$3:$C$1026,"&gt;"&amp;C9)=0,"CURRENT","SUPERSEDED"),"CURRENT"))</f>
        <v/>
      </c>
      <c r="O9" s="19" t="n"/>
    </row>
    <row r="10">
      <c r="A10" s="19" t="n"/>
      <c r="B10" s="20" t="inlineStr">
        <is>
          <t>4503-XH-DL-3156-3630-5065-CWS-01_Rev0</t>
        </is>
      </c>
      <c r="C10" s="21" t="n">
        <v>0</v>
      </c>
      <c r="D10" s="21" t="n">
        <v>46178</v>
      </c>
      <c r="E10" s="20" t="inlineStr">
        <is>
          <t>IFC - ISSUED FOR CONSTRUCTION</t>
        </is>
      </c>
      <c r="F10" s="21" t="n">
        <v>3156</v>
      </c>
      <c r="G10" s="20" t="inlineStr">
        <is>
          <t>PIPE B36.10/36.19 A333 6-SMLS PE PE</t>
        </is>
      </c>
      <c r="H10" s="20" t="inlineStr">
        <is>
          <t>A333</t>
        </is>
      </c>
      <c r="I10" s="22" t="n">
        <v>1</v>
      </c>
      <c r="J10" s="21" t="inlineStr">
        <is>
          <t>160</t>
        </is>
      </c>
      <c r="K10" s="20" t="inlineStr">
        <is>
          <t>I64108817</t>
        </is>
      </c>
      <c r="L10" s="22" t="n">
        <v>0.2</v>
      </c>
      <c r="M10" s="20">
        <f>IFERROR(LEFT(B10,SEARCH("_Rev",B10)-1),B10)</f>
        <v/>
      </c>
      <c r="N10" s="20">
        <f>IF(B10="","",IF(ISNUMBER(C10),IF(COUNTIFS($M$3:$M$1026,M10,$C$3:$C$1026,"&gt;"&amp;C10)=0,"CURRENT","SUPERSEDED"),"CURRENT"))</f>
        <v/>
      </c>
      <c r="O10" s="19" t="n"/>
    </row>
    <row r="11">
      <c r="A11" s="19" t="n"/>
      <c r="B11" s="20" t="inlineStr">
        <is>
          <t>4503-XH-DL-3156-3630-5067-CWR-01_Rev0</t>
        </is>
      </c>
      <c r="C11" s="21" t="n">
        <v>0</v>
      </c>
      <c r="D11" s="21" t="n">
        <v>46178</v>
      </c>
      <c r="E11" s="20" t="inlineStr">
        <is>
          <t>IFC - ISSUED FOR CONSTRUCTION</t>
        </is>
      </c>
      <c r="F11" s="21" t="n">
        <v>3156</v>
      </c>
      <c r="G11" s="20" t="inlineStr">
        <is>
          <t>PIPE B36.10/36.19 A333 6-SMLS PE PE</t>
        </is>
      </c>
      <c r="H11" s="20" t="inlineStr">
        <is>
          <t>A333</t>
        </is>
      </c>
      <c r="I11" s="22" t="n">
        <v>1</v>
      </c>
      <c r="J11" s="21" t="inlineStr">
        <is>
          <t>160</t>
        </is>
      </c>
      <c r="K11" s="20" t="inlineStr">
        <is>
          <t>I64108817</t>
        </is>
      </c>
      <c r="L11" s="22" t="n">
        <v>0.3</v>
      </c>
      <c r="M11" s="20">
        <f>IFERROR(LEFT(B11,SEARCH("_Rev",B11)-1),B11)</f>
        <v/>
      </c>
      <c r="N11" s="20">
        <f>IF(B11="","",IF(ISNUMBER(C11),IF(COUNTIFS($M$3:$M$1026,M11,$C$3:$C$1026,"&gt;"&amp;C11)=0,"CURRENT","SUPERSEDED"),"CURRENT"))</f>
        <v/>
      </c>
      <c r="O11" s="19" t="n"/>
    </row>
    <row r="12">
      <c r="A12" s="19" t="n"/>
      <c r="B12" s="20" t="inlineStr">
        <is>
          <t>4503-XH-DL-3156-3630-5067-CWS-01_Rev0</t>
        </is>
      </c>
      <c r="C12" s="21" t="n">
        <v>0</v>
      </c>
      <c r="D12" s="21" t="n">
        <v>46178</v>
      </c>
      <c r="E12" s="20" t="inlineStr">
        <is>
          <t>IFC - ISSUED FOR CONSTRUCTION</t>
        </is>
      </c>
      <c r="F12" s="21" t="n">
        <v>3156</v>
      </c>
      <c r="G12" s="20" t="inlineStr">
        <is>
          <t>PIPE B36.10/36.19 A333 6-SMLS PE PE</t>
        </is>
      </c>
      <c r="H12" s="20" t="inlineStr">
        <is>
          <t>A333</t>
        </is>
      </c>
      <c r="I12" s="22" t="n">
        <v>1</v>
      </c>
      <c r="J12" s="21" t="inlineStr">
        <is>
          <t>160</t>
        </is>
      </c>
      <c r="K12" s="20" t="inlineStr">
        <is>
          <t>I64108817</t>
        </is>
      </c>
      <c r="L12" s="22" t="n">
        <v>0.3</v>
      </c>
      <c r="M12" s="20">
        <f>IFERROR(LEFT(B12,SEARCH("_Rev",B12)-1),B12)</f>
        <v/>
      </c>
      <c r="N12" s="20">
        <f>IF(B12="","",IF(ISNUMBER(C12),IF(COUNTIFS($M$3:$M$1026,M12,$C$3:$C$1026,"&gt;"&amp;C12)=0,"CURRENT","SUPERSEDED"),"CURRENT"))</f>
        <v/>
      </c>
      <c r="O12" s="19" t="n"/>
    </row>
    <row r="13" ht="15" customHeight="1">
      <c r="A13" s="19" t="n"/>
      <c r="B13" s="20" t="inlineStr">
        <is>
          <t>4503-XH-DL-3156-3630-5068-CWR-01_Rev0</t>
        </is>
      </c>
      <c r="C13" s="21" t="n">
        <v>0</v>
      </c>
      <c r="D13" s="21" t="n">
        <v>46178</v>
      </c>
      <c r="E13" s="20" t="inlineStr">
        <is>
          <t>IFC - ISSUED FOR CONSTRUCTION</t>
        </is>
      </c>
      <c r="F13" s="21" t="n">
        <v>3156</v>
      </c>
      <c r="G13" s="20" t="inlineStr">
        <is>
          <t>PIPE B36.10/36.19 A333 6-SMLS PE PE</t>
        </is>
      </c>
      <c r="H13" s="20" t="inlineStr">
        <is>
          <t>A333</t>
        </is>
      </c>
      <c r="I13" s="22" t="n">
        <v>1</v>
      </c>
      <c r="J13" s="21" t="inlineStr">
        <is>
          <t>160</t>
        </is>
      </c>
      <c r="K13" s="20" t="inlineStr">
        <is>
          <t>I64108817</t>
        </is>
      </c>
      <c r="L13" s="22" t="n">
        <v>0.2</v>
      </c>
      <c r="M13" s="20">
        <f>IFERROR(LEFT(B13,SEARCH("_Rev",B13)-1),B13)</f>
        <v/>
      </c>
      <c r="N13" s="20">
        <f>IF(B13="","",IF(ISNUMBER(C13),IF(COUNTIFS($M$3:$M$1026,M13,$C$3:$C$1026,"&gt;"&amp;C13)=0,"CURRENT","SUPERSEDED"),"CURRENT"))</f>
        <v/>
      </c>
      <c r="O13" s="19" t="n"/>
    </row>
    <row r="14">
      <c r="A14" s="19" t="n"/>
      <c r="B14" s="20" t="inlineStr">
        <is>
          <t>4503-XH-DL-3156-3630-5068-CWS-01_Rev0</t>
        </is>
      </c>
      <c r="C14" s="21" t="n">
        <v>0</v>
      </c>
      <c r="D14" s="21" t="n">
        <v>46178</v>
      </c>
      <c r="E14" s="20" t="inlineStr">
        <is>
          <t>IFC - ISSUED FOR CONSTRUCTION</t>
        </is>
      </c>
      <c r="F14" s="21" t="n">
        <v>3156</v>
      </c>
      <c r="G14" s="20" t="inlineStr">
        <is>
          <t>PIPE B36.10/36.19 A333 6-SMLS PE PE</t>
        </is>
      </c>
      <c r="H14" s="20" t="inlineStr">
        <is>
          <t>A333</t>
        </is>
      </c>
      <c r="I14" s="22" t="n">
        <v>1</v>
      </c>
      <c r="J14" s="21" t="inlineStr">
        <is>
          <t>160</t>
        </is>
      </c>
      <c r="K14" s="20" t="inlineStr">
        <is>
          <t>I64108817</t>
        </is>
      </c>
      <c r="L14" s="22" t="n">
        <v>0.2</v>
      </c>
      <c r="M14" s="20">
        <f>IFERROR(LEFT(B14,SEARCH("_Rev",B14)-1),B14)</f>
        <v/>
      </c>
      <c r="N14" s="20">
        <f>IF(B14="","",IF(ISNUMBER(C14),IF(COUNTIFS($M$3:$M$1026,M14,$C$3:$C$1026,"&gt;"&amp;C14)=0,"CURRENT","SUPERSEDED"),"CURRENT"))</f>
        <v/>
      </c>
      <c r="O14" s="19" t="n"/>
    </row>
    <row r="15">
      <c r="A15" s="19" t="n"/>
      <c r="B15" s="20" t="inlineStr">
        <is>
          <t>4503-XH-DL-3156-3630-5070-CWR-01_Rev0</t>
        </is>
      </c>
      <c r="C15" s="21" t="n">
        <v>0</v>
      </c>
      <c r="D15" s="21" t="n">
        <v>46178</v>
      </c>
      <c r="E15" s="20" t="inlineStr">
        <is>
          <t>IFC - ISSUED FOR CONSTRUCTION</t>
        </is>
      </c>
      <c r="F15" s="21" t="n">
        <v>3156</v>
      </c>
      <c r="G15" s="20" t="inlineStr">
        <is>
          <t>PIPE B36.10/36.19 A333 6-SMLS PE PE</t>
        </is>
      </c>
      <c r="H15" s="20" t="inlineStr">
        <is>
          <t>A333</t>
        </is>
      </c>
      <c r="I15" s="22" t="n">
        <v>1</v>
      </c>
      <c r="J15" s="21" t="inlineStr">
        <is>
          <t>160</t>
        </is>
      </c>
      <c r="K15" s="20" t="inlineStr">
        <is>
          <t>I64108817</t>
        </is>
      </c>
      <c r="L15" s="22" t="n">
        <v>0.1</v>
      </c>
      <c r="M15" s="20">
        <f>IFERROR(LEFT(B15,SEARCH("_Rev",B15)-1),B15)</f>
        <v/>
      </c>
      <c r="N15" s="20">
        <f>IF(B15="","",IF(ISNUMBER(C15),IF(COUNTIFS($M$3:$M$1026,M15,$C$3:$C$1026,"&gt;"&amp;C15)=0,"CURRENT","SUPERSEDED"),"CURRENT"))</f>
        <v/>
      </c>
      <c r="O15" s="19" t="n"/>
    </row>
    <row r="16">
      <c r="A16" s="19" t="n"/>
      <c r="B16" s="20" t="inlineStr">
        <is>
          <t>4503-XH-DL-3156-3630-5070-CWS-01_Rev0</t>
        </is>
      </c>
      <c r="C16" s="21" t="n">
        <v>0</v>
      </c>
      <c r="D16" s="21" t="n">
        <v>46178</v>
      </c>
      <c r="E16" s="20" t="inlineStr">
        <is>
          <t>IFC - ISSUED FOR CONSTRUCTION</t>
        </is>
      </c>
      <c r="F16" s="21" t="n">
        <v>3156</v>
      </c>
      <c r="G16" s="20" t="inlineStr">
        <is>
          <t>PIPE B36.10/36.19 A333 6-SMLS PE PE</t>
        </is>
      </c>
      <c r="H16" s="20" t="inlineStr">
        <is>
          <t>A333</t>
        </is>
      </c>
      <c r="I16" s="22" t="n">
        <v>1</v>
      </c>
      <c r="J16" s="21" t="inlineStr">
        <is>
          <t>160</t>
        </is>
      </c>
      <c r="K16" s="20" t="inlineStr">
        <is>
          <t>I64108817</t>
        </is>
      </c>
      <c r="L16" s="22" t="n">
        <v>0.1</v>
      </c>
      <c r="M16" s="20">
        <f>IFERROR(LEFT(B16,SEARCH("_Rev",B16)-1),B16)</f>
        <v/>
      </c>
      <c r="N16" s="20">
        <f>IF(B16="","",IF(ISNUMBER(C16),IF(COUNTIFS($M$3:$M$1026,M16,$C$3:$C$1026,"&gt;"&amp;C16)=0,"CURRENT","SUPERSEDED"),"CURRENT"))</f>
        <v/>
      </c>
      <c r="O16" s="19" t="n"/>
    </row>
    <row r="17">
      <c r="A17" s="19" t="n"/>
      <c r="B17" s="20" t="inlineStr">
        <is>
          <t>4503-XH-DL-3156-3630-5072-CWS-01_Rev0</t>
        </is>
      </c>
      <c r="C17" s="21" t="n">
        <v>0</v>
      </c>
      <c r="D17" s="21" t="n">
        <v>46178</v>
      </c>
      <c r="E17" s="20" t="inlineStr">
        <is>
          <t>IFC - ISSUED FOR CONSTRUCTION</t>
        </is>
      </c>
      <c r="F17" s="21" t="n">
        <v>3156</v>
      </c>
      <c r="G17" s="20" t="inlineStr">
        <is>
          <t>PIPE B36.10/36.19 A333 6-SMLS PE PE</t>
        </is>
      </c>
      <c r="H17" s="20" t="inlineStr">
        <is>
          <t>A333</t>
        </is>
      </c>
      <c r="I17" s="22" t="n">
        <v>1</v>
      </c>
      <c r="J17" s="21" t="inlineStr">
        <is>
          <t>160</t>
        </is>
      </c>
      <c r="K17" s="20" t="inlineStr">
        <is>
          <t>I64108817</t>
        </is>
      </c>
      <c r="L17" s="22" t="n">
        <v>0.1</v>
      </c>
      <c r="M17" s="20">
        <f>IFERROR(LEFT(B17,SEARCH("_Rev",B17)-1),B17)</f>
        <v/>
      </c>
      <c r="N17" s="20">
        <f>IF(B17="","",IF(ISNUMBER(C17),IF(COUNTIFS($M$3:$M$1026,M17,$C$3:$C$1026,"&gt;"&amp;C17)=0,"CURRENT","SUPERSEDED"),"CURRENT"))</f>
        <v/>
      </c>
      <c r="O17" s="19" t="n"/>
    </row>
    <row r="18">
      <c r="A18" s="19" t="n"/>
      <c r="B18" s="20" t="inlineStr">
        <is>
          <t>4503-XH-DL-3156-3630-5073-CWR-01_Rev0</t>
        </is>
      </c>
      <c r="C18" s="21" t="n">
        <v>0</v>
      </c>
      <c r="D18" s="21" t="n">
        <v>46178</v>
      </c>
      <c r="E18" s="20" t="inlineStr">
        <is>
          <t>IFC - ISSUED FOR CONSTRUCTION</t>
        </is>
      </c>
      <c r="F18" s="21" t="n">
        <v>3156</v>
      </c>
      <c r="G18" s="20" t="inlineStr">
        <is>
          <t>PIPE B36.10/36.19 A333 6-SMLS PE PE</t>
        </is>
      </c>
      <c r="H18" s="20" t="inlineStr">
        <is>
          <t>A333</t>
        </is>
      </c>
      <c r="I18" s="22" t="n">
        <v>1</v>
      </c>
      <c r="J18" s="21" t="inlineStr">
        <is>
          <t>160</t>
        </is>
      </c>
      <c r="K18" s="20" t="inlineStr">
        <is>
          <t>I64108817</t>
        </is>
      </c>
      <c r="L18" s="22" t="n">
        <v>0.1</v>
      </c>
      <c r="M18" s="20">
        <f>IFERROR(LEFT(B18,SEARCH("_Rev",B18)-1),B18)</f>
        <v/>
      </c>
      <c r="N18" s="20">
        <f>IF(B18="","",IF(ISNUMBER(C18),IF(COUNTIFS($M$3:$M$1026,M18,$C$3:$C$1026,"&gt;"&amp;C18)=0,"CURRENT","SUPERSEDED"),"CURRENT"))</f>
        <v/>
      </c>
      <c r="O18" s="19" t="n"/>
    </row>
    <row r="19">
      <c r="A19" s="19" t="n"/>
      <c r="B19" s="20" t="inlineStr">
        <is>
          <t>4503-XH-DL-3156-3630-5073-CWS-01_Rev0</t>
        </is>
      </c>
      <c r="C19" s="21" t="n">
        <v>0</v>
      </c>
      <c r="D19" s="21" t="n">
        <v>46178</v>
      </c>
      <c r="E19" s="20" t="inlineStr">
        <is>
          <t>IFC - ISSUED FOR CONSTRUCTION</t>
        </is>
      </c>
      <c r="F19" s="21" t="n">
        <v>3156</v>
      </c>
      <c r="G19" s="20" t="inlineStr">
        <is>
          <t>PIPE B36.10/36.19 A333 6-SMLS BE BE</t>
        </is>
      </c>
      <c r="H19" s="20" t="inlineStr">
        <is>
          <t>A333</t>
        </is>
      </c>
      <c r="I19" s="22" t="n">
        <v>6</v>
      </c>
      <c r="J19" s="21" t="inlineStr">
        <is>
          <t>STD</t>
        </is>
      </c>
      <c r="K19" s="20" t="inlineStr">
        <is>
          <t>I63649156</t>
        </is>
      </c>
      <c r="L19" s="22" t="n">
        <v>1.7</v>
      </c>
      <c r="M19" s="20">
        <f>IFERROR(LEFT(B19,SEARCH("_Rev",B19)-1),B19)</f>
        <v/>
      </c>
      <c r="N19" s="20">
        <f>IF(B19="","",IF(ISNUMBER(C19),IF(COUNTIFS($M$3:$M$1026,M19,$C$3:$C$1026,"&gt;"&amp;C19)=0,"CURRENT","SUPERSEDED"),"CURRENT"))</f>
        <v/>
      </c>
      <c r="O19" s="19" t="n"/>
    </row>
    <row r="20">
      <c r="A20" s="19" t="n"/>
      <c r="B20" s="20" t="inlineStr">
        <is>
          <t>4503-XH-DL-3156-3630-5074-CWR-01_Rev0</t>
        </is>
      </c>
      <c r="C20" s="21" t="n">
        <v>0</v>
      </c>
      <c r="D20" s="21" t="n">
        <v>46178</v>
      </c>
      <c r="E20" s="20" t="inlineStr">
        <is>
          <t>IFC - ISSUED FOR CONSTRUCTION</t>
        </is>
      </c>
      <c r="F20" s="21" t="n">
        <v>3156</v>
      </c>
      <c r="G20" s="20" t="inlineStr">
        <is>
          <t>PIPE B36.10/36.19 A333 6-SMLS BE BE</t>
        </is>
      </c>
      <c r="H20" s="20" t="inlineStr">
        <is>
          <t>A333</t>
        </is>
      </c>
      <c r="I20" s="22" t="n">
        <v>6</v>
      </c>
      <c r="J20" s="21" t="inlineStr">
        <is>
          <t>STD</t>
        </is>
      </c>
      <c r="K20" s="20" t="inlineStr">
        <is>
          <t>I63649156</t>
        </is>
      </c>
      <c r="L20" s="22" t="n">
        <v>2</v>
      </c>
      <c r="M20" s="20">
        <f>IFERROR(LEFT(B20,SEARCH("_Rev",B20)-1),B20)</f>
        <v/>
      </c>
      <c r="N20" s="20">
        <f>IF(B20="","",IF(ISNUMBER(C20),IF(COUNTIFS($M$3:$M$1026,M20,$C$3:$C$1026,"&gt;"&amp;C20)=0,"CURRENT","SUPERSEDED"),"CURRENT"))</f>
        <v/>
      </c>
      <c r="O20" s="19" t="n"/>
    </row>
    <row r="21">
      <c r="A21" s="19" t="n"/>
      <c r="B21" s="20" t="inlineStr">
        <is>
          <t>4503-XH-DL-3156-8930-5035-CWS-01_Rev0</t>
        </is>
      </c>
      <c r="C21" s="21" t="n">
        <v>0</v>
      </c>
      <c r="D21" s="21" t="n">
        <v>46178</v>
      </c>
      <c r="E21" s="20" t="inlineStr">
        <is>
          <t>IFC - ISSUED FOR CONSTRUCTION</t>
        </is>
      </c>
      <c r="F21" s="21" t="n">
        <v>3156</v>
      </c>
      <c r="G21" s="20" t="inlineStr">
        <is>
          <t>PIPE B36.10/36.19 A333 6-SMLS PE PE</t>
        </is>
      </c>
      <c r="H21" s="20" t="inlineStr">
        <is>
          <t>A333</t>
        </is>
      </c>
      <c r="I21" s="22" t="n">
        <v>1</v>
      </c>
      <c r="J21" s="21" t="inlineStr">
        <is>
          <t>160</t>
        </is>
      </c>
      <c r="K21" s="20" t="inlineStr">
        <is>
          <t>I64108817</t>
        </is>
      </c>
      <c r="L21" s="22" t="n">
        <v>0.1</v>
      </c>
      <c r="M21" s="20">
        <f>IFERROR(LEFT(B21,SEARCH("_Rev",B21)-1),B21)</f>
        <v/>
      </c>
      <c r="N21" s="20">
        <f>IF(B21="","",IF(ISNUMBER(C21),IF(COUNTIFS($M$3:$M$1026,M21,$C$3:$C$1026,"&gt;"&amp;C21)=0,"CURRENT","SUPERSEDED"),"CURRENT"))</f>
        <v/>
      </c>
      <c r="O21" s="19" t="n"/>
    </row>
    <row r="22">
      <c r="A22" s="19" t="n"/>
      <c r="B22" s="20" t="inlineStr">
        <is>
          <t>4503-XH-DL-3156-8930-5038-CWS-01_Rev0</t>
        </is>
      </c>
      <c r="C22" s="21" t="n">
        <v>0</v>
      </c>
      <c r="D22" s="21" t="n">
        <v>46178</v>
      </c>
      <c r="E22" s="20" t="inlineStr">
        <is>
          <t>IFC - ISSUED FOR CONSTRUCTION</t>
        </is>
      </c>
      <c r="F22" s="21" t="n">
        <v>3156</v>
      </c>
      <c r="G22" s="20" t="inlineStr">
        <is>
          <t>PIPE B36.10/36.19 A333 6-SMLS PE PE</t>
        </is>
      </c>
      <c r="H22" s="20" t="inlineStr">
        <is>
          <t>A333</t>
        </is>
      </c>
      <c r="I22" s="22" t="n">
        <v>1</v>
      </c>
      <c r="J22" s="21" t="inlineStr">
        <is>
          <t>160</t>
        </is>
      </c>
      <c r="K22" s="20" t="inlineStr">
        <is>
          <t>I64108817</t>
        </is>
      </c>
      <c r="L22" s="22" t="n">
        <v>0.3</v>
      </c>
      <c r="M22" s="20">
        <f>IFERROR(LEFT(B22,SEARCH("_Rev",B22)-1),B22)</f>
        <v/>
      </c>
      <c r="N22" s="20">
        <f>IF(B22="","",IF(ISNUMBER(C22),IF(COUNTIFS($M$3:$M$1026,M22,$C$3:$C$1026,"&gt;"&amp;C22)=0,"CURRENT","SUPERSEDED"),"CURRENT"))</f>
        <v/>
      </c>
      <c r="O22" s="19" t="n"/>
    </row>
    <row r="23">
      <c r="A23" s="19" t="n"/>
      <c r="B23" s="20" t="inlineStr">
        <is>
          <t>4503-XH-DL-3156-8930-5039-CWS-01_Rev0</t>
        </is>
      </c>
      <c r="C23" s="21" t="n">
        <v>0</v>
      </c>
      <c r="D23" s="21" t="n">
        <v>46178</v>
      </c>
      <c r="E23" s="20" t="inlineStr">
        <is>
          <t>IFC - ISSUED FOR CONSTRUCTION</t>
        </is>
      </c>
      <c r="F23" s="21" t="n">
        <v>3156</v>
      </c>
      <c r="G23" s="20" t="inlineStr">
        <is>
          <t>PIPE B36.10/36.19 A333 6-SMLS PE PE</t>
        </is>
      </c>
      <c r="H23" s="20" t="inlineStr">
        <is>
          <t>A333</t>
        </is>
      </c>
      <c r="I23" s="22" t="n">
        <v>1</v>
      </c>
      <c r="J23" s="21" t="inlineStr">
        <is>
          <t>160</t>
        </is>
      </c>
      <c r="K23" s="20" t="inlineStr">
        <is>
          <t>I64108817</t>
        </is>
      </c>
      <c r="L23" s="22" t="n">
        <v>0.2</v>
      </c>
      <c r="M23" s="20">
        <f>IFERROR(LEFT(B23,SEARCH("_Rev",B23)-1),B23)</f>
        <v/>
      </c>
      <c r="N23" s="20">
        <f>IF(B23="","",IF(ISNUMBER(C23),IF(COUNTIFS($M$3:$M$1026,M23,$C$3:$C$1026,"&gt;"&amp;C23)=0,"CURRENT","SUPERSEDED"),"CURRENT"))</f>
        <v/>
      </c>
      <c r="O23" s="19" t="n"/>
    </row>
    <row r="24">
      <c r="A24" s="19" t="n"/>
      <c r="B24" s="20" t="inlineStr">
        <is>
          <t>4503-XH-DL-5670-5120-0709-BU-01_Rev0</t>
        </is>
      </c>
      <c r="C24" s="21" t="n">
        <v>0</v>
      </c>
      <c r="D24" s="21" t="n">
        <v>46231</v>
      </c>
      <c r="E24" s="20" t="inlineStr">
        <is>
          <t>IFC - ISSUED FOR CONSTRUCTION</t>
        </is>
      </c>
      <c r="F24" s="21" t="n">
        <v>5670</v>
      </c>
      <c r="G24" s="20" t="inlineStr">
        <is>
          <t>PIPE B36.10/36.19 A333 6-SMLS BE BE</t>
        </is>
      </c>
      <c r="H24" s="20" t="inlineStr">
        <is>
          <t>A333</t>
        </is>
      </c>
      <c r="I24" s="22" t="n">
        <v>3</v>
      </c>
      <c r="J24" s="21" t="inlineStr">
        <is>
          <t>STD</t>
        </is>
      </c>
      <c r="K24" s="20" t="inlineStr">
        <is>
          <t>I63649171</t>
        </is>
      </c>
      <c r="L24" s="22" t="n">
        <v>23.4</v>
      </c>
      <c r="M24" s="20">
        <f>IFERROR(LEFT(B24,SEARCH("_Rev",B24)-1),B24)</f>
        <v/>
      </c>
      <c r="N24" s="20">
        <f>IF(B24="","",IF(ISNUMBER(C24),IF(COUNTIFS($M$3:$M$1026,M24,$C$3:$C$1026,"&gt;"&amp;C24)=0,"CURRENT","SUPERSEDED"),"CURRENT"))</f>
        <v/>
      </c>
      <c r="O24" s="19" t="n"/>
    </row>
    <row r="25">
      <c r="A25" s="19" t="n"/>
      <c r="B25" s="20" t="inlineStr">
        <is>
          <t>4503-XH-DL-5670-5120-0709-BU-02_Rev0</t>
        </is>
      </c>
      <c r="C25" s="21" t="n">
        <v>0</v>
      </c>
      <c r="D25" s="21" t="n">
        <v>46231</v>
      </c>
      <c r="E25" s="20" t="inlineStr">
        <is>
          <t>IFC - ISSUED FOR CONSTRUCTION</t>
        </is>
      </c>
      <c r="F25" s="21" t="n">
        <v>5670</v>
      </c>
      <c r="G25" s="20" t="inlineStr">
        <is>
          <t>PIPE B36.10/36.19 A333 6-SMLS BE BE</t>
        </is>
      </c>
      <c r="H25" s="20" t="inlineStr">
        <is>
          <t>A333</t>
        </is>
      </c>
      <c r="I25" s="22" t="n">
        <v>3</v>
      </c>
      <c r="J25" s="21" t="inlineStr">
        <is>
          <t>STD</t>
        </is>
      </c>
      <c r="K25" s="20" t="inlineStr">
        <is>
          <t>I63649171</t>
        </is>
      </c>
      <c r="L25" s="22" t="n">
        <v>12.3</v>
      </c>
      <c r="M25" s="20">
        <f>IFERROR(LEFT(B25,SEARCH("_Rev",B25)-1),B25)</f>
        <v/>
      </c>
      <c r="N25" s="20">
        <f>IF(B25="","",IF(ISNUMBER(C25),IF(COUNTIFS($M$3:$M$1026,M25,$C$3:$C$1026,"&gt;"&amp;C25)=0,"CURRENT","SUPERSEDED"),"CURRENT"))</f>
        <v/>
      </c>
      <c r="O25" s="19" t="n"/>
    </row>
    <row r="26">
      <c r="A26" s="19" t="n"/>
      <c r="B26" s="20" t="inlineStr">
        <is>
          <t>4503-XH-DL-6890-8930-5024-CWR-01_Rev0</t>
        </is>
      </c>
      <c r="C26" s="21" t="n">
        <v>0</v>
      </c>
      <c r="D26" s="21" t="n">
        <v>46178</v>
      </c>
      <c r="E26" s="20" t="inlineStr">
        <is>
          <t>IFC - ISSUED FOR CONSTRUCTION</t>
        </is>
      </c>
      <c r="F26" s="21" t="n">
        <v>6890</v>
      </c>
      <c r="G26" s="20" t="inlineStr">
        <is>
          <t>PIPE B36.10/36.19 A333 6-SMLS BE BE</t>
        </is>
      </c>
      <c r="H26" s="20" t="inlineStr">
        <is>
          <t>A333</t>
        </is>
      </c>
      <c r="I26" s="22" t="n">
        <v>8</v>
      </c>
      <c r="J26" s="21" t="inlineStr">
        <is>
          <t>STD</t>
        </is>
      </c>
      <c r="K26" s="20" t="inlineStr">
        <is>
          <t>I64108766</t>
        </is>
      </c>
      <c r="L26" s="22" t="n">
        <v>1.8</v>
      </c>
      <c r="M26" s="20">
        <f>IFERROR(LEFT(B26,SEARCH("_Rev",B26)-1),B26)</f>
        <v/>
      </c>
      <c r="N26" s="20">
        <f>IF(B26="","",IF(ISNUMBER(C26),IF(COUNTIFS($M$3:$M$1026,M26,$C$3:$C$1026,"&gt;"&amp;C26)=0,"CURRENT","SUPERSEDED"),"CURRENT"))</f>
        <v/>
      </c>
      <c r="O26" s="19" t="n"/>
    </row>
    <row r="27">
      <c r="A27" s="19" t="n"/>
      <c r="B27" s="20" t="inlineStr">
        <is>
          <t>4503-XH-DL-6890-8930-5024-CWS-01_Rev0</t>
        </is>
      </c>
      <c r="C27" s="21" t="n">
        <v>0</v>
      </c>
      <c r="D27" s="21" t="n">
        <v>46178</v>
      </c>
      <c r="E27" s="20" t="inlineStr">
        <is>
          <t>IFC - ISSUED FOR CONSTRUCTION</t>
        </is>
      </c>
      <c r="F27" s="21" t="n">
        <v>6890</v>
      </c>
      <c r="G27" s="20" t="inlineStr">
        <is>
          <t>PIPE B36.10/36.19 A333 6-SMLS BE BE</t>
        </is>
      </c>
      <c r="H27" s="20" t="inlineStr">
        <is>
          <t>A333</t>
        </is>
      </c>
      <c r="I27" s="22" t="n">
        <v>8</v>
      </c>
      <c r="J27" s="21" t="inlineStr">
        <is>
          <t>STD</t>
        </is>
      </c>
      <c r="K27" s="20" t="inlineStr">
        <is>
          <t>I64108766</t>
        </is>
      </c>
      <c r="L27" s="22" t="n">
        <v>1.5</v>
      </c>
      <c r="M27" s="20">
        <f>IFERROR(LEFT(B27,SEARCH("_Rev",B27)-1),B27)</f>
        <v/>
      </c>
      <c r="N27" s="20">
        <f>IF(B27="","",IF(ISNUMBER(C27),IF(COUNTIFS($M$3:$M$1026,M27,$C$3:$C$1026,"&gt;"&amp;C27)=0,"CURRENT","SUPERSEDED"),"CURRENT"))</f>
        <v/>
      </c>
      <c r="O27" s="19" t="n"/>
    </row>
    <row r="28">
      <c r="A28" s="19" t="n"/>
      <c r="B28" s="20" t="inlineStr">
        <is>
          <t>4503-XH-DL-6890-8930-5030-CWR-01_Rev0</t>
        </is>
      </c>
      <c r="C28" s="21" t="n">
        <v>0</v>
      </c>
      <c r="D28" s="21" t="n">
        <v>46178</v>
      </c>
      <c r="E28" s="20" t="inlineStr">
        <is>
          <t>IFC - ISSUED FOR CONSTRUCTION</t>
        </is>
      </c>
      <c r="F28" s="21" t="n">
        <v>6890</v>
      </c>
      <c r="G28" s="20" t="inlineStr">
        <is>
          <t>PIPE B36.10/36.19 A333 6-SMLS PE PE</t>
        </is>
      </c>
      <c r="H28" s="20" t="inlineStr">
        <is>
          <t>A333</t>
        </is>
      </c>
      <c r="I28" s="22" t="n">
        <v>1</v>
      </c>
      <c r="J28" s="21" t="inlineStr">
        <is>
          <t>160</t>
        </is>
      </c>
      <c r="K28" s="20" t="inlineStr">
        <is>
          <t>I64108817</t>
        </is>
      </c>
      <c r="L28" s="22" t="n">
        <v>0.1</v>
      </c>
      <c r="M28" s="20">
        <f>IFERROR(LEFT(B28,SEARCH("_Rev",B28)-1),B28)</f>
        <v/>
      </c>
      <c r="N28" s="20">
        <f>IF(B28="","",IF(ISNUMBER(C28),IF(COUNTIFS($M$3:$M$1026,M28,$C$3:$C$1026,"&gt;"&amp;C28)=0,"CURRENT","SUPERSEDED"),"CURRENT"))</f>
        <v/>
      </c>
      <c r="O28" s="19" t="n"/>
      <c r="P28" s="3" t="n"/>
      <c r="Q28" s="2" t="n"/>
      <c r="R28" s="2" t="n"/>
      <c r="S28" s="2" t="n"/>
      <c r="T28" s="5" t="n"/>
      <c r="U28" s="1" t="n"/>
    </row>
    <row r="29">
      <c r="A29" s="19" t="n"/>
      <c r="B29" s="20" t="inlineStr">
        <is>
          <t>4503-XH-DL-6890-8930-5030-CWS-01_Rev0</t>
        </is>
      </c>
      <c r="C29" s="21" t="n">
        <v>0</v>
      </c>
      <c r="D29" s="21" t="n">
        <v>46178</v>
      </c>
      <c r="E29" s="20" t="inlineStr">
        <is>
          <t>IFC - ISSUED FOR CONSTRUCTION</t>
        </is>
      </c>
      <c r="F29" s="21" t="n">
        <v>6890</v>
      </c>
      <c r="G29" s="20" t="inlineStr">
        <is>
          <t>PIPE B36.10/36.19 A333 6-SMLS BE BE</t>
        </is>
      </c>
      <c r="H29" s="20" t="inlineStr">
        <is>
          <t>A333</t>
        </is>
      </c>
      <c r="I29" s="22" t="n">
        <v>8</v>
      </c>
      <c r="J29" s="21" t="inlineStr">
        <is>
          <t>STD</t>
        </is>
      </c>
      <c r="K29" s="20" t="inlineStr">
        <is>
          <t>I64108766</t>
        </is>
      </c>
      <c r="L29" s="22" t="n">
        <v>2.6</v>
      </c>
      <c r="M29" s="20">
        <f>IFERROR(LEFT(B29,SEARCH("_Rev",B29)-1),B29)</f>
        <v/>
      </c>
      <c r="N29" s="20">
        <f>IF(B29="","",IF(ISNUMBER(C29),IF(COUNTIFS($M$3:$M$1026,M29,$C$3:$C$1026,"&gt;"&amp;C29)=0,"CURRENT","SUPERSEDED"),"CURRENT"))</f>
        <v/>
      </c>
      <c r="O29" s="19" t="n"/>
    </row>
    <row r="30">
      <c r="A30" s="19" t="n"/>
      <c r="B30" s="20" t="inlineStr">
        <is>
          <t>4503-XH-DL-6890-8930-5032-CWR-01_Rev0</t>
        </is>
      </c>
      <c r="C30" s="21" t="n">
        <v>0</v>
      </c>
      <c r="D30" s="21" t="n">
        <v>46178</v>
      </c>
      <c r="E30" s="20" t="inlineStr">
        <is>
          <t>IFC - ISSUED FOR CONSTRUCTION</t>
        </is>
      </c>
      <c r="F30" s="21" t="n">
        <v>6890</v>
      </c>
      <c r="G30" s="20" t="inlineStr">
        <is>
          <t>PIPE B36.10/36.19 A333 6-SMLS BE BE</t>
        </is>
      </c>
      <c r="H30" s="20" t="inlineStr">
        <is>
          <t>A333</t>
        </is>
      </c>
      <c r="I30" s="22" t="n">
        <v>8</v>
      </c>
      <c r="J30" s="21" t="inlineStr">
        <is>
          <t>STD</t>
        </is>
      </c>
      <c r="K30" s="20" t="inlineStr">
        <is>
          <t>I64108766</t>
        </is>
      </c>
      <c r="L30" s="22" t="n">
        <v>2.3</v>
      </c>
      <c r="M30" s="20">
        <f>IFERROR(LEFT(B30,SEARCH("_Rev",B30)-1),B30)</f>
        <v/>
      </c>
      <c r="N30" s="20">
        <f>IF(B30="","",IF(ISNUMBER(C30),IF(COUNTIFS($M$3:$M$1026,M30,$C$3:$C$1026,"&gt;"&amp;C30)=0,"CURRENT","SUPERSEDED"),"CURRENT"))</f>
        <v/>
      </c>
      <c r="O30" s="19" t="n"/>
    </row>
    <row r="31">
      <c r="A31" s="19" t="n"/>
      <c r="B31" s="20" t="inlineStr">
        <is>
          <t>4503-XH-DL-6890-8930-5033-CWR-01_Rev0</t>
        </is>
      </c>
      <c r="C31" s="21" t="n">
        <v>0</v>
      </c>
      <c r="D31" s="21" t="n">
        <v>46178</v>
      </c>
      <c r="E31" s="20" t="inlineStr">
        <is>
          <t>IFC - ISSUED FOR CONSTRUCTION</t>
        </is>
      </c>
      <c r="F31" s="21" t="n">
        <v>6890</v>
      </c>
      <c r="G31" s="20" t="inlineStr">
        <is>
          <t>PIPE B36.10/36.19 A333 6-SMLS PE PE</t>
        </is>
      </c>
      <c r="H31" s="20" t="inlineStr">
        <is>
          <t>A333</t>
        </is>
      </c>
      <c r="I31" s="22" t="n">
        <v>1</v>
      </c>
      <c r="J31" s="21" t="inlineStr">
        <is>
          <t>160</t>
        </is>
      </c>
      <c r="K31" s="20" t="inlineStr">
        <is>
          <t>I64108817</t>
        </is>
      </c>
      <c r="L31" s="22" t="n">
        <v>0.1</v>
      </c>
      <c r="M31" s="20">
        <f>IFERROR(LEFT(B31,SEARCH("_Rev",B31)-1),B31)</f>
        <v/>
      </c>
      <c r="N31" s="20">
        <f>IF(B31="","",IF(ISNUMBER(C31),IF(COUNTIFS($M$3:$M$1026,M31,$C$3:$C$1026,"&gt;"&amp;C31)=0,"CURRENT","SUPERSEDED"),"CURRENT"))</f>
        <v/>
      </c>
      <c r="O31" s="19" t="n"/>
    </row>
    <row r="32">
      <c r="A32" s="19" t="n"/>
      <c r="B32" s="20" t="inlineStr">
        <is>
          <t>4503-XH-DL-6890-8930-5033-CWS-01_Rev0</t>
        </is>
      </c>
      <c r="C32" s="21" t="n">
        <v>0</v>
      </c>
      <c r="D32" s="21" t="n">
        <v>46178</v>
      </c>
      <c r="E32" s="20" t="inlineStr">
        <is>
          <t>IFC - ISSUED FOR CONSTRUCTION</t>
        </is>
      </c>
      <c r="F32" s="21" t="n">
        <v>6890</v>
      </c>
      <c r="G32" s="20" t="inlineStr">
        <is>
          <t>PIPE B36.10/36.19 A333 6-SMLS PE PE</t>
        </is>
      </c>
      <c r="H32" s="20" t="inlineStr">
        <is>
          <t>A333</t>
        </is>
      </c>
      <c r="I32" s="22" t="n">
        <v>1</v>
      </c>
      <c r="J32" s="21" t="inlineStr">
        <is>
          <t>160</t>
        </is>
      </c>
      <c r="K32" s="20" t="inlineStr">
        <is>
          <t>I64108817</t>
        </is>
      </c>
      <c r="L32" s="22" t="n">
        <v>0.1</v>
      </c>
      <c r="M32" s="20">
        <f>IFERROR(LEFT(B32,SEARCH("_Rev",B32)-1),B32)</f>
        <v/>
      </c>
      <c r="N32" s="20">
        <f>IF(B32="","",IF(ISNUMBER(C32),IF(COUNTIFS($M$3:$M$1026,M32,$C$3:$C$1026,"&gt;"&amp;C32)=0,"CURRENT","SUPERSEDED"),"CURRENT"))</f>
        <v/>
      </c>
      <c r="O32" s="19" t="n"/>
    </row>
    <row r="33">
      <c r="A33" s="19" t="n"/>
      <c r="B33" s="20" t="inlineStr">
        <is>
          <t>4503-XH-DL-6890-8930-5041-CWS-01_Rev0</t>
        </is>
      </c>
      <c r="C33" s="21" t="n">
        <v>0</v>
      </c>
      <c r="D33" s="21" t="n">
        <v>46178</v>
      </c>
      <c r="E33" s="20" t="inlineStr">
        <is>
          <t>IFC - ISSUED FOR CONSTRUCTION</t>
        </is>
      </c>
      <c r="F33" s="21" t="n">
        <v>6890</v>
      </c>
      <c r="G33" s="20" t="inlineStr">
        <is>
          <t>PIPE B36.10/36.19 A333 6-SMLS PE PE</t>
        </is>
      </c>
      <c r="H33" s="20" t="inlineStr">
        <is>
          <t>A333</t>
        </is>
      </c>
      <c r="I33" s="22" t="n">
        <v>1</v>
      </c>
      <c r="J33" s="21" t="inlineStr">
        <is>
          <t>160</t>
        </is>
      </c>
      <c r="K33" s="20" t="inlineStr">
        <is>
          <t>I64108817</t>
        </is>
      </c>
      <c r="L33" s="22" t="n">
        <v>0.1</v>
      </c>
      <c r="M33" s="20">
        <f>IFERROR(LEFT(B33,SEARCH("_Rev",B33)-1),B33)</f>
        <v/>
      </c>
      <c r="N33" s="20">
        <f>IF(B33="","",IF(ISNUMBER(C33),IF(COUNTIFS($M$3:$M$1026,M33,$C$3:$C$1026,"&gt;"&amp;C33)=0,"CURRENT","SUPERSEDED"),"CURRENT"))</f>
        <v/>
      </c>
      <c r="O33" s="19" t="n"/>
    </row>
    <row r="34">
      <c r="A34" s="19" t="n"/>
      <c r="B34" s="20" t="inlineStr">
        <is>
          <t>4503-XH-DL-8601-8930-5026-CWR-01_Rev0</t>
        </is>
      </c>
      <c r="C34" s="21" t="n">
        <v>0</v>
      </c>
      <c r="D34" s="21" t="n">
        <v>46178</v>
      </c>
      <c r="E34" s="20" t="inlineStr">
        <is>
          <t>IFC - ISSUED FOR CONSTRUCTION</t>
        </is>
      </c>
      <c r="F34" s="21" t="n">
        <v>8601</v>
      </c>
      <c r="G34" s="20" t="inlineStr">
        <is>
          <t>PIPE B36.10/36.19 A333 6-SMLS PE PE</t>
        </is>
      </c>
      <c r="H34" s="20" t="inlineStr">
        <is>
          <t>A333</t>
        </is>
      </c>
      <c r="I34" s="22" t="n">
        <v>1</v>
      </c>
      <c r="J34" s="21" t="inlineStr">
        <is>
          <t>160</t>
        </is>
      </c>
      <c r="K34" s="20" t="inlineStr">
        <is>
          <t>I64108817</t>
        </is>
      </c>
      <c r="L34" s="22" t="n">
        <v>0.1</v>
      </c>
      <c r="M34" s="20">
        <f>IFERROR(LEFT(B34,SEARCH("_Rev",B34)-1),B34)</f>
        <v/>
      </c>
      <c r="N34" s="20">
        <f>IF(B34="","",IF(ISNUMBER(C34),IF(COUNTIFS($M$3:$M$1026,M34,$C$3:$C$1026,"&gt;"&amp;C34)=0,"CURRENT","SUPERSEDED"),"CURRENT"))</f>
        <v/>
      </c>
      <c r="O34" s="19" t="n"/>
    </row>
    <row r="35">
      <c r="A35" s="19" t="n"/>
      <c r="B35" s="20" t="inlineStr">
        <is>
          <t>4503-XH-DL-8601-8930-5028-CWS-01_Rev0</t>
        </is>
      </c>
      <c r="C35" s="21" t="n">
        <v>0</v>
      </c>
      <c r="D35" s="21" t="n">
        <v>46178</v>
      </c>
      <c r="E35" s="20" t="inlineStr">
        <is>
          <t>IFC - ISSUED FOR CONSTRUCTION</t>
        </is>
      </c>
      <c r="F35" s="21" t="n">
        <v>8601</v>
      </c>
      <c r="G35" s="20" t="inlineStr">
        <is>
          <t>PIPE B36.10/36.19 A333 6-SMLS BE BE</t>
        </is>
      </c>
      <c r="H35" s="20" t="inlineStr">
        <is>
          <t>A333</t>
        </is>
      </c>
      <c r="I35" s="22" t="n">
        <v>6</v>
      </c>
      <c r="J35" s="21" t="inlineStr">
        <is>
          <t>STD</t>
        </is>
      </c>
      <c r="K35" s="20" t="inlineStr">
        <is>
          <t>I63649156</t>
        </is>
      </c>
      <c r="L35" s="22" t="n">
        <v>1.2</v>
      </c>
      <c r="M35" s="20">
        <f>IFERROR(LEFT(B35,SEARCH("_Rev",B35)-1),B35)</f>
        <v/>
      </c>
      <c r="N35" s="20">
        <f>IF(B35="","",IF(ISNUMBER(C35),IF(COUNTIFS($M$3:$M$1026,M35,$C$3:$C$1026,"&gt;"&amp;C35)=0,"CURRENT","SUPERSEDED"),"CURRENT"))</f>
        <v/>
      </c>
      <c r="O35" s="19" t="n"/>
    </row>
    <row r="36">
      <c r="A36" s="19" t="n"/>
      <c r="B36" s="20" t="inlineStr">
        <is>
          <t>4503-XH-DL-8601-8930-5029-CWR-01_Rev0</t>
        </is>
      </c>
      <c r="C36" s="21" t="n">
        <v>0</v>
      </c>
      <c r="D36" s="21" t="n">
        <v>46178</v>
      </c>
      <c r="E36" s="20" t="inlineStr">
        <is>
          <t>IFC - ISSUED FOR CONSTRUCTION</t>
        </is>
      </c>
      <c r="F36" s="21" t="n">
        <v>8601</v>
      </c>
      <c r="G36" s="20" t="inlineStr">
        <is>
          <t>PIPE B36.10/36.19 A333 6-SMLS BE BE</t>
        </is>
      </c>
      <c r="H36" s="20" t="inlineStr">
        <is>
          <t>A333</t>
        </is>
      </c>
      <c r="I36" s="22" t="n">
        <v>6</v>
      </c>
      <c r="J36" s="21" t="inlineStr">
        <is>
          <t>STD</t>
        </is>
      </c>
      <c r="K36" s="20" t="inlineStr">
        <is>
          <t>I63649156</t>
        </is>
      </c>
      <c r="L36" s="22" t="n">
        <v>2.1</v>
      </c>
      <c r="M36" s="20">
        <f>IFERROR(LEFT(B36,SEARCH("_Rev",B36)-1),B36)</f>
        <v/>
      </c>
      <c r="N36" s="20">
        <f>IF(B36="","",IF(ISNUMBER(C36),IF(COUNTIFS($M$3:$M$1026,M36,$C$3:$C$1026,"&gt;"&amp;C36)=0,"CURRENT","SUPERSEDED"),"CURRENT"))</f>
        <v/>
      </c>
      <c r="O36" s="19" t="n"/>
    </row>
    <row r="37">
      <c r="A37" s="19" t="n"/>
      <c r="B37" s="20" t="inlineStr">
        <is>
          <t>4503-XH-DL-8601-8930-5032-CWS-01_Rev0</t>
        </is>
      </c>
      <c r="C37" s="21" t="n">
        <v>0</v>
      </c>
      <c r="D37" s="21" t="n">
        <v>46178</v>
      </c>
      <c r="E37" s="20" t="inlineStr">
        <is>
          <t>IFC - ISSUED FOR CONSTRUCTION</t>
        </is>
      </c>
      <c r="F37" s="21" t="n">
        <v>8601</v>
      </c>
      <c r="G37" s="20" t="inlineStr">
        <is>
          <t>PIPE B36.10/36.19 A333 6-SMLS PE PE</t>
        </is>
      </c>
      <c r="H37" s="20" t="inlineStr">
        <is>
          <t>A333</t>
        </is>
      </c>
      <c r="I37" s="22" t="n">
        <v>1</v>
      </c>
      <c r="J37" s="21" t="inlineStr">
        <is>
          <t>160</t>
        </is>
      </c>
      <c r="K37" s="20" t="inlineStr">
        <is>
          <t>I64108817</t>
        </is>
      </c>
      <c r="L37" s="22" t="n">
        <v>0.1</v>
      </c>
      <c r="M37" s="20">
        <f>IFERROR(LEFT(B37,SEARCH("_Rev",B37)-1),B37)</f>
        <v/>
      </c>
      <c r="N37" s="20">
        <f>IF(B37="","",IF(ISNUMBER(C37),IF(COUNTIFS($M$3:$M$1026,M37,$C$3:$C$1026,"&gt;"&amp;C37)=0,"CURRENT","SUPERSEDED"),"CURRENT"))</f>
        <v/>
      </c>
      <c r="O37" s="19" t="n"/>
    </row>
    <row r="38">
      <c r="A38" s="19" t="n"/>
      <c r="B38" s="20" t="inlineStr">
        <is>
          <t>4503-XH-DL-3900-3630-5020-CWS-01_Rev0</t>
        </is>
      </c>
      <c r="C38" s="21" t="n">
        <v>0</v>
      </c>
      <c r="D38" s="21" t="n">
        <v>46223</v>
      </c>
      <c r="E38" s="20" t="inlineStr">
        <is>
          <t>IFC - ISSUED FOR CONSTRUCTION</t>
        </is>
      </c>
      <c r="F38" s="21" t="n">
        <v>3900</v>
      </c>
      <c r="G38" s="20" t="inlineStr">
        <is>
          <t>PIPE B36.10/36.19 A333 6-SMLS BE BE</t>
        </is>
      </c>
      <c r="H38" s="20" t="inlineStr">
        <is>
          <t>A333</t>
        </is>
      </c>
      <c r="I38" s="22" t="n">
        <v>6</v>
      </c>
      <c r="J38" s="21" t="inlineStr">
        <is>
          <t>STD</t>
        </is>
      </c>
      <c r="K38" s="20" t="inlineStr">
        <is>
          <t>I63649156</t>
        </is>
      </c>
      <c r="L38" s="22" t="n">
        <v>3.4</v>
      </c>
      <c r="M38" s="20">
        <f>IFERROR(LEFT(B38,SEARCH("_Rev",B38)-1),B38)</f>
        <v/>
      </c>
      <c r="N38" s="20">
        <f>IF(B38="","",IF(ISNUMBER(C38),IF(COUNTIFS($M$3:$M$1026,M38,$C$3:$C$1026,"&gt;"&amp;C38)=0,"CURRENT","SUPERSEDED"),"CURRENT"))</f>
        <v/>
      </c>
      <c r="O38" s="19" t="n"/>
    </row>
    <row r="39">
      <c r="A39" s="19" t="n"/>
      <c r="B39" s="20" t="inlineStr">
        <is>
          <t>4503-XH-DL-3900-3630-5025-CWR-01_Rev0</t>
        </is>
      </c>
      <c r="C39" s="21" t="n">
        <v>0</v>
      </c>
      <c r="D39" s="21" t="n">
        <v>46223</v>
      </c>
      <c r="E39" s="20" t="inlineStr">
        <is>
          <t>IFC - ISSUED FOR CONSTRUCTION</t>
        </is>
      </c>
      <c r="F39" s="21" t="n">
        <v>3900</v>
      </c>
      <c r="G39" s="20" t="inlineStr">
        <is>
          <t>PIPE B36.10/36.19 A333 6-SMLS BE BE</t>
        </is>
      </c>
      <c r="H39" s="20" t="inlineStr">
        <is>
          <t>A333</t>
        </is>
      </c>
      <c r="I39" s="22" t="n">
        <v>6</v>
      </c>
      <c r="J39" s="21" t="inlineStr">
        <is>
          <t>STD</t>
        </is>
      </c>
      <c r="K39" s="20" t="inlineStr">
        <is>
          <t>I63649156</t>
        </is>
      </c>
      <c r="L39" s="22" t="n">
        <v>9.5</v>
      </c>
      <c r="M39" s="20">
        <f>IFERROR(LEFT(B39,SEARCH("_Rev",B39)-1),B39)</f>
        <v/>
      </c>
      <c r="N39" s="20">
        <f>IF(B39="","",IF(ISNUMBER(C39),IF(COUNTIFS($M$3:$M$1026,M39,$C$3:$C$1026,"&gt;"&amp;C39)=0,"CURRENT","SUPERSEDED"),"CURRENT"))</f>
        <v/>
      </c>
      <c r="O39" s="19" t="n"/>
    </row>
    <row r="40">
      <c r="A40" s="19" t="n"/>
      <c r="B40" s="20" t="inlineStr">
        <is>
          <t>4503-XH-DL-3900-3640-5019-GWR1-01_Rev0</t>
        </is>
      </c>
      <c r="C40" s="21" t="n">
        <v>0</v>
      </c>
      <c r="D40" s="21" t="n">
        <v>46223</v>
      </c>
      <c r="E40" s="20" t="inlineStr">
        <is>
          <t>IFC - ISSUED FOR CONSTRUCTION</t>
        </is>
      </c>
      <c r="F40" s="21" t="n">
        <v>3900</v>
      </c>
      <c r="G40" s="20" t="inlineStr">
        <is>
          <t>PIPE B36.10/36.19 A333 6-SMLS BE BE</t>
        </is>
      </c>
      <c r="H40" s="20" t="inlineStr">
        <is>
          <t>A333</t>
        </is>
      </c>
      <c r="I40" s="22" t="n">
        <v>2</v>
      </c>
      <c r="J40" s="21" t="inlineStr">
        <is>
          <t>XS</t>
        </is>
      </c>
      <c r="K40" s="20" t="inlineStr">
        <is>
          <t>I64108762</t>
        </is>
      </c>
      <c r="L40" s="22" t="n">
        <v>7.9</v>
      </c>
      <c r="M40" s="20">
        <f>IFERROR(LEFT(B40,SEARCH("_Rev",B40)-1),B40)</f>
        <v/>
      </c>
      <c r="N40" s="20">
        <f>IF(B40="","",IF(ISNUMBER(C40),IF(COUNTIFS($M$3:$M$1026,M40,$C$3:$C$1026,"&gt;"&amp;C40)=0,"CURRENT","SUPERSEDED"),"CURRENT"))</f>
        <v/>
      </c>
      <c r="O40" s="19" t="n"/>
    </row>
    <row r="41">
      <c r="A41" s="19" t="n"/>
      <c r="B41" s="20" t="inlineStr">
        <is>
          <t>4503-XH-DL-3900-3640-5019-GWS1-01_Rev0</t>
        </is>
      </c>
      <c r="C41" s="21" t="n">
        <v>0</v>
      </c>
      <c r="D41" s="21" t="n">
        <v>46223</v>
      </c>
      <c r="E41" s="20" t="inlineStr">
        <is>
          <t>IFC - ISSUED FOR CONSTRUCTION</t>
        </is>
      </c>
      <c r="F41" s="21" t="n">
        <v>3900</v>
      </c>
      <c r="G41" s="20" t="inlineStr">
        <is>
          <t>PIPE B36.10/36.19 A333 6-SMLS BE BE</t>
        </is>
      </c>
      <c r="H41" s="20" t="inlineStr">
        <is>
          <t>A333</t>
        </is>
      </c>
      <c r="I41" s="22" t="n">
        <v>2</v>
      </c>
      <c r="J41" s="21" t="inlineStr">
        <is>
          <t>XS</t>
        </is>
      </c>
      <c r="K41" s="20" t="inlineStr">
        <is>
          <t>I64108762</t>
        </is>
      </c>
      <c r="L41" s="22" t="n">
        <v>5</v>
      </c>
      <c r="M41" s="20">
        <f>IFERROR(LEFT(B41,SEARCH("_Rev",B41)-1),B41)</f>
        <v/>
      </c>
      <c r="N41" s="20">
        <f>IF(B41="","",IF(ISNUMBER(C41),IF(COUNTIFS($M$3:$M$1026,M41,$C$3:$C$1026,"&gt;"&amp;C41)=0,"CURRENT","SUPERSEDED"),"CURRENT"))</f>
        <v/>
      </c>
      <c r="O41" s="19" t="n"/>
    </row>
    <row r="42">
      <c r="A42" s="19" t="n"/>
      <c r="B42" s="20" t="inlineStr">
        <is>
          <t>4503-XH-DL-4141-4130-1704-CWS-01_Rev0</t>
        </is>
      </c>
      <c r="C42" s="21" t="n">
        <v>0</v>
      </c>
      <c r="D42" s="21" t="n">
        <v>46234</v>
      </c>
      <c r="E42" s="20" t="inlineStr">
        <is>
          <t>IFC-ISSUED FOR CONSTRUCTION</t>
        </is>
      </c>
      <c r="F42" s="21" t="n">
        <v>4141</v>
      </c>
      <c r="G42" s="20" t="inlineStr">
        <is>
          <t>PIPE B36.10/36.19 A333 6-SMLS BE BE</t>
        </is>
      </c>
      <c r="H42" s="20" t="inlineStr">
        <is>
          <t>A333</t>
        </is>
      </c>
      <c r="I42" s="22" t="n">
        <v>20</v>
      </c>
      <c r="J42" s="21" t="inlineStr">
        <is>
          <t>STD</t>
        </is>
      </c>
      <c r="K42" s="20" t="inlineStr">
        <is>
          <t>I64108758</t>
        </is>
      </c>
      <c r="L42" s="22" t="n">
        <v>0.6</v>
      </c>
      <c r="M42" s="20">
        <f>IFERROR(LEFT(B42,SEARCH("_Rev",B42)-1),B42)</f>
        <v/>
      </c>
      <c r="N42" s="20">
        <f>IF(B42="","",IF(ISNUMBER(C42),IF(COUNTIFS($M$3:$M$1026,M42,$C$3:$C$1026,"&gt;"&amp;C42)=0,"CURRENT","SUPERSEDED"),"CURRENT"))</f>
        <v/>
      </c>
      <c r="O42" s="19" t="n"/>
    </row>
    <row r="43">
      <c r="A43" s="19" t="n"/>
      <c r="B43" s="20" t="inlineStr">
        <is>
          <t>4503-XH-DL-4141-4130-1704-CWS-01_Rev0</t>
        </is>
      </c>
      <c r="C43" s="21" t="n">
        <v>0</v>
      </c>
      <c r="D43" s="21" t="n">
        <v>46234</v>
      </c>
      <c r="E43" s="20" t="inlineStr">
        <is>
          <t>IFC-ISSUED FOR CONSTRUCTION</t>
        </is>
      </c>
      <c r="F43" s="21" t="n">
        <v>4141</v>
      </c>
      <c r="G43" s="20" t="inlineStr">
        <is>
          <t>PIPE B36.10/36.19 A333 6-SMLS BE BE</t>
        </is>
      </c>
      <c r="H43" s="20" t="inlineStr">
        <is>
          <t>A333</t>
        </is>
      </c>
      <c r="I43" s="22" t="n">
        <v>2</v>
      </c>
      <c r="J43" s="21" t="inlineStr">
        <is>
          <t>XS</t>
        </is>
      </c>
      <c r="K43" s="20" t="inlineStr">
        <is>
          <t>I64108762</t>
        </is>
      </c>
      <c r="L43" s="22" t="n">
        <v>0.1</v>
      </c>
      <c r="M43" s="20">
        <f>IFERROR(LEFT(B43,SEARCH("_Rev",B43)-1),B43)</f>
        <v/>
      </c>
      <c r="N43" s="20">
        <f>IF(B43="","",IF(ISNUMBER(C43),IF(COUNTIFS($M$3:$M$1026,M43,$C$3:$C$1026,"&gt;"&amp;C43)=0,"CURRENT","SUPERSEDED"),"CURRENT"))</f>
        <v/>
      </c>
      <c r="O43" s="19" t="n"/>
    </row>
    <row r="44">
      <c r="A44" s="19" t="n"/>
      <c r="B44" s="20" t="inlineStr">
        <is>
          <t>4503-XH-DL-4141-4130-1731-CWS-01_Rev0</t>
        </is>
      </c>
      <c r="C44" s="21" t="n">
        <v>0</v>
      </c>
      <c r="D44" s="21" t="n">
        <v>46234</v>
      </c>
      <c r="E44" s="20" t="inlineStr">
        <is>
          <t>IFC-ISSUED FOR CONSTRUCTION</t>
        </is>
      </c>
      <c r="F44" s="21" t="n">
        <v>4141</v>
      </c>
      <c r="G44" s="20" t="inlineStr">
        <is>
          <t>PIPE B36.10/36.19 A333 6-SMLS BE BE</t>
        </is>
      </c>
      <c r="H44" s="20" t="inlineStr">
        <is>
          <t>A333</t>
        </is>
      </c>
      <c r="I44" s="22" t="n">
        <v>20</v>
      </c>
      <c r="J44" s="21" t="inlineStr">
        <is>
          <t>STD</t>
        </is>
      </c>
      <c r="K44" s="20" t="inlineStr">
        <is>
          <t>I64108758</t>
        </is>
      </c>
      <c r="L44" s="22" t="n">
        <v>0.6</v>
      </c>
      <c r="M44" s="20">
        <f>IFERROR(LEFT(B44,SEARCH("_Rev",B44)-1),B44)</f>
        <v/>
      </c>
      <c r="N44" s="20">
        <f>IF(B44="","",IF(ISNUMBER(C44),IF(COUNTIFS($M$3:$M$1026,M44,$C$3:$C$1026,"&gt;"&amp;C44)=0,"CURRENT","SUPERSEDED"),"CURRENT"))</f>
        <v/>
      </c>
      <c r="O44" s="19" t="n"/>
    </row>
    <row r="45">
      <c r="A45" s="19" t="n"/>
      <c r="B45" s="20" t="inlineStr">
        <is>
          <t>4503-XH-DL-4141-4130-1731-CWS-01_Rev0</t>
        </is>
      </c>
      <c r="C45" s="21" t="n">
        <v>0</v>
      </c>
      <c r="D45" s="21" t="n">
        <v>46234</v>
      </c>
      <c r="E45" s="20" t="inlineStr">
        <is>
          <t>IFC-ISSUED FOR CONSTRUCTION</t>
        </is>
      </c>
      <c r="F45" s="21" t="n">
        <v>4141</v>
      </c>
      <c r="G45" s="20" t="inlineStr">
        <is>
          <t>PIPE B36.10/36.19 A333 6-SMLS BE BE</t>
        </is>
      </c>
      <c r="H45" s="20" t="inlineStr">
        <is>
          <t>A333</t>
        </is>
      </c>
      <c r="I45" s="22" t="n">
        <v>2</v>
      </c>
      <c r="J45" s="21" t="inlineStr">
        <is>
          <t>XS</t>
        </is>
      </c>
      <c r="K45" s="20" t="inlineStr">
        <is>
          <t>I64108762</t>
        </is>
      </c>
      <c r="L45" s="22" t="n">
        <v>0.1</v>
      </c>
      <c r="M45" s="20">
        <f>IFERROR(LEFT(B45,SEARCH("_Rev",B45)-1),B45)</f>
        <v/>
      </c>
      <c r="N45" s="20">
        <f>IF(B45="","",IF(ISNUMBER(C45),IF(COUNTIFS($M$3:$M$1026,M45,$C$3:$C$1026,"&gt;"&amp;C45)=0,"CURRENT","SUPERSEDED"),"CURRENT"))</f>
        <v/>
      </c>
      <c r="O45" s="19" t="n"/>
    </row>
    <row r="46">
      <c r="A46" s="19" t="n"/>
      <c r="B46" s="20" t="inlineStr">
        <is>
          <t>4503-XH-DL-4141-4130-2705-CWS-01_Rev0</t>
        </is>
      </c>
      <c r="C46" s="21" t="n">
        <v>0</v>
      </c>
      <c r="D46" s="21" t="n">
        <v>46234</v>
      </c>
      <c r="E46" s="20" t="inlineStr">
        <is>
          <t>IFC-ISSUED FOR CONSTRUCTION</t>
        </is>
      </c>
      <c r="F46" s="21" t="n">
        <v>4141</v>
      </c>
      <c r="G46" s="20" t="inlineStr">
        <is>
          <t>PIPE B36.10/36.19 A333 6-SMLS BE BE</t>
        </is>
      </c>
      <c r="H46" s="20" t="inlineStr">
        <is>
          <t>A333</t>
        </is>
      </c>
      <c r="I46" s="22" t="n">
        <v>20</v>
      </c>
      <c r="J46" s="21" t="inlineStr">
        <is>
          <t>STD</t>
        </is>
      </c>
      <c r="K46" s="20" t="inlineStr">
        <is>
          <t>I64108758</t>
        </is>
      </c>
      <c r="L46" s="22" t="n">
        <v>0.6</v>
      </c>
      <c r="M46" s="20">
        <f>IFERROR(LEFT(B46,SEARCH("_Rev",B46)-1),B46)</f>
        <v/>
      </c>
      <c r="N46" s="20">
        <f>IF(B46="","",IF(ISNUMBER(C46),IF(COUNTIFS($M$3:$M$1026,M46,$C$3:$C$1026,"&gt;"&amp;C46)=0,"CURRENT","SUPERSEDED"),"CURRENT"))</f>
        <v/>
      </c>
      <c r="O46" s="19" t="n"/>
    </row>
    <row r="47">
      <c r="A47" s="19" t="n"/>
      <c r="B47" s="20" t="inlineStr">
        <is>
          <t>4503-XH-DL-4141-4130-2705-CWS-01_Rev0</t>
        </is>
      </c>
      <c r="C47" s="21" t="n">
        <v>0</v>
      </c>
      <c r="D47" s="21" t="n">
        <v>46234</v>
      </c>
      <c r="E47" s="20" t="inlineStr">
        <is>
          <t>IFC-ISSUED FOR CONSTRUCTION</t>
        </is>
      </c>
      <c r="F47" s="21" t="n">
        <v>4141</v>
      </c>
      <c r="G47" s="20" t="inlineStr">
        <is>
          <t>PIPE B36.10/36.19 A333 6-SMLS BE BE</t>
        </is>
      </c>
      <c r="H47" s="20" t="inlineStr">
        <is>
          <t>A333</t>
        </is>
      </c>
      <c r="I47" s="22" t="n">
        <v>2</v>
      </c>
      <c r="J47" s="21" t="inlineStr">
        <is>
          <t>XS</t>
        </is>
      </c>
      <c r="K47" s="20" t="inlineStr">
        <is>
          <t>I64108762</t>
        </is>
      </c>
      <c r="L47" s="22" t="n">
        <v>0.1</v>
      </c>
      <c r="M47" s="20">
        <f>IFERROR(LEFT(B47,SEARCH("_Rev",B47)-1),B47)</f>
        <v/>
      </c>
      <c r="N47" s="20">
        <f>IF(B47="","",IF(ISNUMBER(C47),IF(COUNTIFS($M$3:$M$1026,M47,$C$3:$C$1026,"&gt;"&amp;C47)=0,"CURRENT","SUPERSEDED"),"CURRENT"))</f>
        <v/>
      </c>
      <c r="O47" s="19" t="n"/>
    </row>
    <row r="48">
      <c r="A48" s="19" t="n"/>
      <c r="B48" s="20" t="inlineStr">
        <is>
          <t>4503-XH-DL-4141-4130-2706-CWS-01_Rev0</t>
        </is>
      </c>
      <c r="C48" s="21" t="n">
        <v>0</v>
      </c>
      <c r="D48" s="21" t="n">
        <v>46234</v>
      </c>
      <c r="E48" s="20" t="inlineStr">
        <is>
          <t>IFC-ISSUED FOR CONSTRUCTION</t>
        </is>
      </c>
      <c r="F48" s="21" t="n">
        <v>4141</v>
      </c>
      <c r="G48" s="20" t="inlineStr">
        <is>
          <t>PIPE B36.10/36.19 A333 6-SMLS BE BE</t>
        </is>
      </c>
      <c r="H48" s="20" t="inlineStr">
        <is>
          <t>A333</t>
        </is>
      </c>
      <c r="I48" s="22" t="n">
        <v>20</v>
      </c>
      <c r="J48" s="21" t="inlineStr">
        <is>
          <t>STD</t>
        </is>
      </c>
      <c r="K48" s="20" t="inlineStr">
        <is>
          <t>I64108758</t>
        </is>
      </c>
      <c r="L48" s="22" t="n">
        <v>0.6</v>
      </c>
      <c r="M48" s="20">
        <f>IFERROR(LEFT(B48,SEARCH("_Rev",B48)-1),B48)</f>
        <v/>
      </c>
      <c r="N48" s="20">
        <f>IF(B48="","",IF(ISNUMBER(C48),IF(COUNTIFS($M$3:$M$1026,M48,$C$3:$C$1026,"&gt;"&amp;C48)=0,"CURRENT","SUPERSEDED"),"CURRENT"))</f>
        <v/>
      </c>
      <c r="O48" s="19" t="n"/>
    </row>
    <row r="49">
      <c r="A49" s="19" t="n"/>
      <c r="B49" s="20" t="inlineStr">
        <is>
          <t>4503-XH-DL-4141-4130-2706-CWS-01_Rev0</t>
        </is>
      </c>
      <c r="C49" s="21" t="n">
        <v>0</v>
      </c>
      <c r="D49" s="21" t="n">
        <v>46234</v>
      </c>
      <c r="E49" s="20" t="inlineStr">
        <is>
          <t>IFC-ISSUED FOR CONSTRUCTION</t>
        </is>
      </c>
      <c r="F49" s="21" t="n">
        <v>4141</v>
      </c>
      <c r="G49" s="20" t="inlineStr">
        <is>
          <t>PIPE B36.10/36.19 A333 6-SMLS BE BE</t>
        </is>
      </c>
      <c r="H49" s="20" t="inlineStr">
        <is>
          <t>A333</t>
        </is>
      </c>
      <c r="I49" s="22" t="n">
        <v>2</v>
      </c>
      <c r="J49" s="21" t="inlineStr">
        <is>
          <t>XS</t>
        </is>
      </c>
      <c r="K49" s="20" t="inlineStr">
        <is>
          <t>I64108762</t>
        </is>
      </c>
      <c r="L49" s="22" t="n">
        <v>0.1</v>
      </c>
      <c r="M49" s="20">
        <f>IFERROR(LEFT(B49,SEARCH("_Rev",B49)-1),B49)</f>
        <v/>
      </c>
      <c r="N49" s="20">
        <f>IF(B49="","",IF(ISNUMBER(C49),IF(COUNTIFS($M$3:$M$1026,M49,$C$3:$C$1026,"&gt;"&amp;C49)=0,"CURRENT","SUPERSEDED"),"CURRENT"))</f>
        <v/>
      </c>
      <c r="O49" s="19" t="n"/>
    </row>
    <row r="50">
      <c r="A50" s="19" t="n"/>
      <c r="B50" s="20" t="inlineStr">
        <is>
          <t>4503-XH-DL-4141-4130-2730-CWS-01_Rev0</t>
        </is>
      </c>
      <c r="C50" s="21" t="n">
        <v>0</v>
      </c>
      <c r="D50" s="21" t="n">
        <v>46234</v>
      </c>
      <c r="E50" s="20" t="inlineStr">
        <is>
          <t>IFC-ISSUED FOR CONSTRUCTION</t>
        </is>
      </c>
      <c r="F50" s="21" t="n">
        <v>4141</v>
      </c>
      <c r="G50" s="20" t="inlineStr">
        <is>
          <t>PIPE B36.10/36.19 A333 6-SMLS BE BE</t>
        </is>
      </c>
      <c r="H50" s="20" t="inlineStr">
        <is>
          <t>A333</t>
        </is>
      </c>
      <c r="I50" s="22" t="n">
        <v>20</v>
      </c>
      <c r="J50" s="21" t="inlineStr">
        <is>
          <t>STD</t>
        </is>
      </c>
      <c r="K50" s="20" t="inlineStr">
        <is>
          <t>I64108758</t>
        </is>
      </c>
      <c r="L50" s="22" t="n">
        <v>0.6</v>
      </c>
      <c r="M50" s="20">
        <f>IFERROR(LEFT(B50,SEARCH("_Rev",B50)-1),B50)</f>
        <v/>
      </c>
      <c r="N50" s="20">
        <f>IF(B50="","",IF(ISNUMBER(C50),IF(COUNTIFS($M$3:$M$1026,M50,$C$3:$C$1026,"&gt;"&amp;C50)=0,"CURRENT","SUPERSEDED"),"CURRENT"))</f>
        <v/>
      </c>
      <c r="O50" s="19" t="n"/>
    </row>
    <row r="51">
      <c r="A51" s="19" t="n"/>
      <c r="B51" s="20" t="inlineStr">
        <is>
          <t>4503-XH-DL-4141-4130-2730-CWS-01_Rev0</t>
        </is>
      </c>
      <c r="C51" s="21" t="n">
        <v>0</v>
      </c>
      <c r="D51" s="21" t="n">
        <v>46234</v>
      </c>
      <c r="E51" s="20" t="inlineStr">
        <is>
          <t>IFC-ISSUED FOR CONSTRUCTION</t>
        </is>
      </c>
      <c r="F51" s="21" t="n">
        <v>4141</v>
      </c>
      <c r="G51" s="20" t="inlineStr">
        <is>
          <t>PIPE B36.10/36.19 A333 6-SMLS BE BE</t>
        </is>
      </c>
      <c r="H51" s="20" t="inlineStr">
        <is>
          <t>A333</t>
        </is>
      </c>
      <c r="I51" s="22" t="n">
        <v>2</v>
      </c>
      <c r="J51" s="21" t="inlineStr">
        <is>
          <t>XS</t>
        </is>
      </c>
      <c r="K51" s="20" t="inlineStr">
        <is>
          <t>I64108762</t>
        </is>
      </c>
      <c r="L51" s="22" t="n">
        <v>0.1</v>
      </c>
      <c r="M51" s="20">
        <f>IFERROR(LEFT(B51,SEARCH("_Rev",B51)-1),B51)</f>
        <v/>
      </c>
      <c r="N51" s="20">
        <f>IF(B51="","",IF(ISNUMBER(C51),IF(COUNTIFS($M$3:$M$1026,M51,$C$3:$C$1026,"&gt;"&amp;C51)=0,"CURRENT","SUPERSEDED"),"CURRENT"))</f>
        <v/>
      </c>
      <c r="O51" s="19" t="n"/>
    </row>
    <row r="52">
      <c r="A52" s="19" t="n"/>
      <c r="B52" s="20" t="inlineStr">
        <is>
          <t>4503-XH-DL-4141-4141-1702-JS-01_Rev0</t>
        </is>
      </c>
      <c r="C52" s="21" t="n">
        <v>0</v>
      </c>
      <c r="D52" s="21" t="n">
        <v>46234</v>
      </c>
      <c r="E52" s="20" t="inlineStr">
        <is>
          <t>IFC-ISSUED FOR CONSTRUCTION</t>
        </is>
      </c>
      <c r="F52" s="21" t="n">
        <v>4141</v>
      </c>
      <c r="G52" s="20" t="inlineStr">
        <is>
          <t>PIPE B36.10/36.19 A333 6-SMLS BE BE</t>
        </is>
      </c>
      <c r="H52" s="20" t="inlineStr">
        <is>
          <t>A333</t>
        </is>
      </c>
      <c r="I52" s="22" t="n">
        <v>20</v>
      </c>
      <c r="J52" s="21" t="inlineStr">
        <is>
          <t>STD</t>
        </is>
      </c>
      <c r="K52" s="20" t="inlineStr">
        <is>
          <t>I64108758</t>
        </is>
      </c>
      <c r="L52" s="22" t="n">
        <v>13.5</v>
      </c>
      <c r="M52" s="20">
        <f>IFERROR(LEFT(B52,SEARCH("_Rev",B52)-1),B52)</f>
        <v/>
      </c>
      <c r="N52" s="20">
        <f>IF(B52="","",IF(ISNUMBER(C52),IF(COUNTIFS($M$3:$M$1026,M52,$C$3:$C$1026,"&gt;"&amp;C52)=0,"CURRENT","SUPERSEDED"),"CURRENT"))</f>
        <v/>
      </c>
      <c r="O52" s="19" t="n"/>
    </row>
    <row r="53">
      <c r="A53" s="19" t="n"/>
      <c r="B53" s="20" t="inlineStr">
        <is>
          <t>4503-XH-DL-4141-4141-1702-JS-01_Rev0</t>
        </is>
      </c>
      <c r="C53" s="21" t="n">
        <v>0</v>
      </c>
      <c r="D53" s="21" t="n">
        <v>46234</v>
      </c>
      <c r="E53" s="20" t="inlineStr">
        <is>
          <t>IFC-ISSUED FOR CONSTRUCTION</t>
        </is>
      </c>
      <c r="F53" s="21" t="n">
        <v>4141</v>
      </c>
      <c r="G53" s="20" t="inlineStr">
        <is>
          <t>PIPE B36.10/36.19 A333 6-SMLS BE BE</t>
        </is>
      </c>
      <c r="H53" s="20" t="inlineStr">
        <is>
          <t>A333</t>
        </is>
      </c>
      <c r="I53" s="22" t="n">
        <v>2</v>
      </c>
      <c r="J53" s="21" t="inlineStr">
        <is>
          <t>XS</t>
        </is>
      </c>
      <c r="K53" s="20" t="inlineStr">
        <is>
          <t>I64108762</t>
        </is>
      </c>
      <c r="L53" s="22" t="n">
        <v>0.2</v>
      </c>
      <c r="M53" s="20">
        <f>IFERROR(LEFT(B53,SEARCH("_Rev",B53)-1),B53)</f>
        <v/>
      </c>
      <c r="N53" s="20">
        <f>IF(B53="","",IF(ISNUMBER(C53),IF(COUNTIFS($M$3:$M$1026,M53,$C$3:$C$1026,"&gt;"&amp;C53)=0,"CURRENT","SUPERSEDED"),"CURRENT"))</f>
        <v/>
      </c>
      <c r="O53" s="19" t="n"/>
    </row>
    <row r="54">
      <c r="A54" s="19" t="n"/>
      <c r="B54" s="20" t="inlineStr">
        <is>
          <t>4503-XH-DL-4141-4141-1703-JS-01_Rev0</t>
        </is>
      </c>
      <c r="C54" s="21" t="n">
        <v>0</v>
      </c>
      <c r="D54" s="21" t="n">
        <v>46234</v>
      </c>
      <c r="E54" s="20" t="inlineStr">
        <is>
          <t>IFC-ISSUED FOR CONSTRUCTION</t>
        </is>
      </c>
      <c r="F54" s="21" t="n">
        <v>4141</v>
      </c>
      <c r="G54" s="20" t="inlineStr">
        <is>
          <t>PIPE B36.10/36.19 A333 6-SMLS BE BE</t>
        </is>
      </c>
      <c r="H54" s="20" t="inlineStr">
        <is>
          <t>A333</t>
        </is>
      </c>
      <c r="I54" s="22" t="n">
        <v>20</v>
      </c>
      <c r="J54" s="21" t="inlineStr">
        <is>
          <t>STD</t>
        </is>
      </c>
      <c r="K54" s="20" t="inlineStr">
        <is>
          <t>I64108758</t>
        </is>
      </c>
      <c r="L54" s="22" t="n">
        <v>13.5</v>
      </c>
      <c r="M54" s="20">
        <f>IFERROR(LEFT(B54,SEARCH("_Rev",B54)-1),B54)</f>
        <v/>
      </c>
      <c r="N54" s="20">
        <f>IF(B54="","",IF(ISNUMBER(C54),IF(COUNTIFS($M$3:$M$1026,M54,$C$3:$C$1026,"&gt;"&amp;C54)=0,"CURRENT","SUPERSEDED"),"CURRENT"))</f>
        <v/>
      </c>
      <c r="O54" s="19" t="n"/>
    </row>
    <row r="55">
      <c r="A55" s="19" t="n"/>
      <c r="B55" s="20" t="inlineStr">
        <is>
          <t>4503-XH-DL-4141-4141-1703-JS-01_Rev0</t>
        </is>
      </c>
      <c r="C55" s="21" t="n">
        <v>0</v>
      </c>
      <c r="D55" s="21" t="n">
        <v>46234</v>
      </c>
      <c r="E55" s="20" t="inlineStr">
        <is>
          <t>IFC-ISSUED FOR CONSTRUCTION</t>
        </is>
      </c>
      <c r="F55" s="21" t="n">
        <v>4141</v>
      </c>
      <c r="G55" s="20" t="inlineStr">
        <is>
          <t>PIPE B36.10/36.19 A333 6-SMLS BE BE</t>
        </is>
      </c>
      <c r="H55" s="20" t="inlineStr">
        <is>
          <t>A333</t>
        </is>
      </c>
      <c r="I55" s="22" t="n">
        <v>2</v>
      </c>
      <c r="J55" s="21" t="inlineStr">
        <is>
          <t>XS</t>
        </is>
      </c>
      <c r="K55" s="20" t="inlineStr">
        <is>
          <t>I64108762</t>
        </is>
      </c>
      <c r="L55" s="22" t="n">
        <v>0.2</v>
      </c>
      <c r="M55" s="20">
        <f>IFERROR(LEFT(B55,SEARCH("_Rev",B55)-1),B55)</f>
        <v/>
      </c>
      <c r="N55" s="20">
        <f>IF(B55="","",IF(ISNUMBER(C55),IF(COUNTIFS($M$3:$M$1026,M55,$C$3:$C$1026,"&gt;"&amp;C55)=0,"CURRENT","SUPERSEDED"),"CURRENT"))</f>
        <v/>
      </c>
      <c r="O55" s="19" t="n"/>
    </row>
    <row r="56">
      <c r="A56" s="19" t="n"/>
      <c r="B56" s="20" t="inlineStr">
        <is>
          <t>4503-XH-DL-4141-4141-1719-JS-01_Rev0</t>
        </is>
      </c>
      <c r="C56" s="21" t="n">
        <v>0</v>
      </c>
      <c r="D56" s="21" t="n">
        <v>46234</v>
      </c>
      <c r="E56" s="20" t="inlineStr">
        <is>
          <t>IFC-ISSUED FOR CONSTRUCTION</t>
        </is>
      </c>
      <c r="F56" s="21" t="n">
        <v>4141</v>
      </c>
      <c r="G56" s="20" t="inlineStr">
        <is>
          <t>PIPE B36.10/36.19 A333 6-SMLS BE BE</t>
        </is>
      </c>
      <c r="H56" s="20" t="inlineStr">
        <is>
          <t>A333</t>
        </is>
      </c>
      <c r="I56" s="22" t="n">
        <v>20</v>
      </c>
      <c r="J56" s="21" t="inlineStr">
        <is>
          <t>STD</t>
        </is>
      </c>
      <c r="K56" s="20" t="inlineStr">
        <is>
          <t>I64108758</t>
        </is>
      </c>
      <c r="L56" s="22" t="n">
        <v>11.2</v>
      </c>
      <c r="M56" s="20">
        <f>IFERROR(LEFT(B56,SEARCH("_Rev",B56)-1),B56)</f>
        <v/>
      </c>
      <c r="N56" s="20">
        <f>IF(B56="","",IF(ISNUMBER(C56),IF(COUNTIFS($M$3:$M$1026,M56,$C$3:$C$1026,"&gt;"&amp;C56)=0,"CURRENT","SUPERSEDED"),"CURRENT"))</f>
        <v/>
      </c>
      <c r="O56" s="19" t="n"/>
    </row>
    <row r="57">
      <c r="A57" s="19" t="n"/>
      <c r="B57" s="20" t="inlineStr">
        <is>
          <t>4503-XH-DL-4141-4141-1719-JS-01_Rev0</t>
        </is>
      </c>
      <c r="C57" s="21" t="n">
        <v>0</v>
      </c>
      <c r="D57" s="21" t="n">
        <v>46234</v>
      </c>
      <c r="E57" s="20" t="inlineStr">
        <is>
          <t>IFC-ISSUED FOR CONSTRUCTION</t>
        </is>
      </c>
      <c r="F57" s="21" t="n">
        <v>4141</v>
      </c>
      <c r="G57" s="20" t="inlineStr">
        <is>
          <t>PIPE B36.10/36.19 A333 6-SMLS BE BE</t>
        </is>
      </c>
      <c r="H57" s="20" t="inlineStr">
        <is>
          <t>A333</t>
        </is>
      </c>
      <c r="I57" s="22" t="n">
        <v>2</v>
      </c>
      <c r="J57" s="21" t="inlineStr">
        <is>
          <t>XS</t>
        </is>
      </c>
      <c r="K57" s="20" t="inlineStr">
        <is>
          <t>I64108762</t>
        </is>
      </c>
      <c r="L57" s="22" t="n">
        <v>0.3</v>
      </c>
      <c r="M57" s="20">
        <f>IFERROR(LEFT(B57,SEARCH("_Rev",B57)-1),B57)</f>
        <v/>
      </c>
      <c r="N57" s="20">
        <f>IF(B57="","",IF(ISNUMBER(C57),IF(COUNTIFS($M$3:$M$1026,M57,$C$3:$C$1026,"&gt;"&amp;C57)=0,"CURRENT","SUPERSEDED"),"CURRENT"))</f>
        <v/>
      </c>
      <c r="O57" s="19" t="n"/>
    </row>
    <row r="58">
      <c r="A58" s="19" t="n"/>
      <c r="B58" s="20" t="inlineStr">
        <is>
          <t>4503-XH-DL-4141-4141-1723-JS-01_Rev0</t>
        </is>
      </c>
      <c r="C58" s="21" t="n">
        <v>0</v>
      </c>
      <c r="D58" s="21" t="n">
        <v>46234</v>
      </c>
      <c r="E58" s="20" t="inlineStr">
        <is>
          <t>IFC-ISSUED FOR CONSTRUCTION</t>
        </is>
      </c>
      <c r="F58" s="21" t="n">
        <v>4141</v>
      </c>
      <c r="G58" s="20" t="inlineStr">
        <is>
          <t>PIPE B36.10/36.19 A333 6-SMLS BE BE</t>
        </is>
      </c>
      <c r="H58" s="20" t="inlineStr">
        <is>
          <t>A333</t>
        </is>
      </c>
      <c r="I58" s="22" t="n">
        <v>20</v>
      </c>
      <c r="J58" s="21" t="inlineStr">
        <is>
          <t>STD</t>
        </is>
      </c>
      <c r="K58" s="20" t="inlineStr">
        <is>
          <t>I64108758</t>
        </is>
      </c>
      <c r="L58" s="22" t="n">
        <v>11.2</v>
      </c>
      <c r="M58" s="20">
        <f>IFERROR(LEFT(B58,SEARCH("_Rev",B58)-1),B58)</f>
        <v/>
      </c>
      <c r="N58" s="20">
        <f>IF(B58="","",IF(ISNUMBER(C58),IF(COUNTIFS($M$3:$M$1026,M58,$C$3:$C$1026,"&gt;"&amp;C58)=0,"CURRENT","SUPERSEDED"),"CURRENT"))</f>
        <v/>
      </c>
      <c r="O58" s="19" t="n"/>
    </row>
    <row r="59">
      <c r="A59" s="19" t="n"/>
      <c r="B59" s="20" t="inlineStr">
        <is>
          <t>4503-XH-DL-4141-4141-1723-JS-01_Rev0</t>
        </is>
      </c>
      <c r="C59" s="21" t="n">
        <v>0</v>
      </c>
      <c r="D59" s="21" t="n">
        <v>46234</v>
      </c>
      <c r="E59" s="20" t="inlineStr">
        <is>
          <t>IFC-ISSUED FOR CONSTRUCTION</t>
        </is>
      </c>
      <c r="F59" s="21" t="n">
        <v>4141</v>
      </c>
      <c r="G59" s="20" t="inlineStr">
        <is>
          <t>PIPE B36.10/36.19 A333 6-SMLS BE BE</t>
        </is>
      </c>
      <c r="H59" s="20" t="inlineStr">
        <is>
          <t>A333</t>
        </is>
      </c>
      <c r="I59" s="22" t="n">
        <v>2</v>
      </c>
      <c r="J59" s="21" t="inlineStr">
        <is>
          <t>XS</t>
        </is>
      </c>
      <c r="K59" s="20" t="inlineStr">
        <is>
          <t>I64108762</t>
        </is>
      </c>
      <c r="L59" s="22" t="n">
        <v>0.3</v>
      </c>
      <c r="M59" s="20">
        <f>IFERROR(LEFT(B59,SEARCH("_Rev",B59)-1),B59)</f>
        <v/>
      </c>
      <c r="N59" s="20">
        <f>IF(B59="","",IF(ISNUMBER(C59),IF(COUNTIFS($M$3:$M$1026,M59,$C$3:$C$1026,"&gt;"&amp;C59)=0,"CURRENT","SUPERSEDED"),"CURRENT"))</f>
        <v/>
      </c>
      <c r="O59" s="19" t="n"/>
    </row>
    <row r="60">
      <c r="A60" s="19" t="n"/>
      <c r="B60" s="20" t="inlineStr">
        <is>
          <t>4503-XH-DL-4141-4141-1730-JS-01_Rev0</t>
        </is>
      </c>
      <c r="C60" s="21" t="n">
        <v>0</v>
      </c>
      <c r="D60" s="21" t="n">
        <v>46234</v>
      </c>
      <c r="E60" s="20" t="inlineStr">
        <is>
          <t>IFC-ISSUED FOR CONSTRUCTION</t>
        </is>
      </c>
      <c r="F60" s="21" t="n">
        <v>4141</v>
      </c>
      <c r="G60" s="20" t="inlineStr">
        <is>
          <t>PIPE B36.10/36.19 A333 6-SMLS BE BE</t>
        </is>
      </c>
      <c r="H60" s="20" t="inlineStr">
        <is>
          <t>A333</t>
        </is>
      </c>
      <c r="I60" s="22" t="n">
        <v>20</v>
      </c>
      <c r="J60" s="21" t="inlineStr">
        <is>
          <t>STD</t>
        </is>
      </c>
      <c r="K60" s="20" t="inlineStr">
        <is>
          <t>I64108758</t>
        </is>
      </c>
      <c r="L60" s="22" t="n">
        <v>13.5</v>
      </c>
      <c r="M60" s="20">
        <f>IFERROR(LEFT(B60,SEARCH("_Rev",B60)-1),B60)</f>
        <v/>
      </c>
      <c r="N60" s="20">
        <f>IF(B60="","",IF(ISNUMBER(C60),IF(COUNTIFS($M$3:$M$1026,M60,$C$3:$C$1026,"&gt;"&amp;C60)=0,"CURRENT","SUPERSEDED"),"CURRENT"))</f>
        <v/>
      </c>
      <c r="O60" s="19" t="n"/>
    </row>
    <row r="61">
      <c r="A61" s="19" t="n"/>
      <c r="B61" s="20" t="inlineStr">
        <is>
          <t>4503-XH-DL-4141-4141-1730-JS-01_Rev0</t>
        </is>
      </c>
      <c r="C61" s="21" t="n">
        <v>0</v>
      </c>
      <c r="D61" s="21" t="n">
        <v>46234</v>
      </c>
      <c r="E61" s="20" t="inlineStr">
        <is>
          <t>IFC-ISSUED FOR CONSTRUCTION</t>
        </is>
      </c>
      <c r="F61" s="21" t="n">
        <v>4141</v>
      </c>
      <c r="G61" s="20" t="inlineStr">
        <is>
          <t>PIPE B36.10/36.19 A333 6-SMLS BE BE</t>
        </is>
      </c>
      <c r="H61" s="20" t="inlineStr">
        <is>
          <t>A333</t>
        </is>
      </c>
      <c r="I61" s="22" t="n">
        <v>2</v>
      </c>
      <c r="J61" s="21" t="inlineStr">
        <is>
          <t>XS</t>
        </is>
      </c>
      <c r="K61" s="20" t="inlineStr">
        <is>
          <t>I64108762</t>
        </is>
      </c>
      <c r="L61" s="22" t="n">
        <v>0.2</v>
      </c>
      <c r="M61" s="20">
        <f>IFERROR(LEFT(B61,SEARCH("_Rev",B61)-1),B61)</f>
        <v/>
      </c>
      <c r="N61" s="20">
        <f>IF(B61="","",IF(ISNUMBER(C61),IF(COUNTIFS($M$3:$M$1026,M61,$C$3:$C$1026,"&gt;"&amp;C61)=0,"CURRENT","SUPERSEDED"),"CURRENT"))</f>
        <v/>
      </c>
      <c r="O61" s="19" t="n"/>
    </row>
    <row r="62">
      <c r="A62" s="19" t="n"/>
      <c r="B62" s="20" t="inlineStr">
        <is>
          <t>4503-XH-DL-4141-4141-1733-JS-01_Rev0</t>
        </is>
      </c>
      <c r="C62" s="21" t="n">
        <v>0</v>
      </c>
      <c r="D62" s="21" t="n">
        <v>46234</v>
      </c>
      <c r="E62" s="20" t="inlineStr">
        <is>
          <t>IFC-ISSUED FOR CONSTRUCTION</t>
        </is>
      </c>
      <c r="F62" s="21" t="n">
        <v>4141</v>
      </c>
      <c r="G62" s="20" t="inlineStr">
        <is>
          <t>PIPE B36.10/36.19 A333 6-SMLS BE BE</t>
        </is>
      </c>
      <c r="H62" s="20" t="inlineStr">
        <is>
          <t>A333</t>
        </is>
      </c>
      <c r="I62" s="22" t="n">
        <v>20</v>
      </c>
      <c r="J62" s="21" t="inlineStr">
        <is>
          <t>STD</t>
        </is>
      </c>
      <c r="K62" s="20" t="inlineStr">
        <is>
          <t>I64108758</t>
        </is>
      </c>
      <c r="L62" s="22" t="n">
        <v>11.2</v>
      </c>
      <c r="M62" s="20">
        <f>IFERROR(LEFT(B62,SEARCH("_Rev",B62)-1),B62)</f>
        <v/>
      </c>
      <c r="N62" s="20">
        <f>IF(B62="","",IF(ISNUMBER(C62),IF(COUNTIFS($M$3:$M$1026,M62,$C$3:$C$1026,"&gt;"&amp;C62)=0,"CURRENT","SUPERSEDED"),"CURRENT"))</f>
        <v/>
      </c>
      <c r="O62" s="19" t="n"/>
    </row>
    <row r="63">
      <c r="A63" s="19" t="n"/>
      <c r="B63" s="20" t="inlineStr">
        <is>
          <t>4503-XH-DL-4141-4141-1733-JS-01_Rev0</t>
        </is>
      </c>
      <c r="C63" s="21" t="n">
        <v>0</v>
      </c>
      <c r="D63" s="21" t="n">
        <v>46234</v>
      </c>
      <c r="E63" s="20" t="inlineStr">
        <is>
          <t>IFC-ISSUED FOR CONSTRUCTION</t>
        </is>
      </c>
      <c r="F63" s="21" t="n">
        <v>4141</v>
      </c>
      <c r="G63" s="20" t="inlineStr">
        <is>
          <t>PIPE B36.10/36.19 A333 6-SMLS BE BE</t>
        </is>
      </c>
      <c r="H63" s="20" t="inlineStr">
        <is>
          <t>A333</t>
        </is>
      </c>
      <c r="I63" s="22" t="n">
        <v>2</v>
      </c>
      <c r="J63" s="21" t="inlineStr">
        <is>
          <t>XS</t>
        </is>
      </c>
      <c r="K63" s="20" t="inlineStr">
        <is>
          <t>I64108762</t>
        </is>
      </c>
      <c r="L63" s="22" t="n">
        <v>0.3</v>
      </c>
      <c r="M63" s="20">
        <f>IFERROR(LEFT(B63,SEARCH("_Rev",B63)-1),B63)</f>
        <v/>
      </c>
      <c r="N63" s="20">
        <f>IF(B63="","",IF(ISNUMBER(C63),IF(COUNTIFS($M$3:$M$1026,M63,$C$3:$C$1026,"&gt;"&amp;C63)=0,"CURRENT","SUPERSEDED"),"CURRENT"))</f>
        <v/>
      </c>
      <c r="O63" s="19" t="n"/>
    </row>
    <row r="64">
      <c r="A64" s="19" t="n"/>
      <c r="B64" s="20" t="inlineStr">
        <is>
          <t>4503-XH-DL-4141-4142-2704-JS-01_Rev0</t>
        </is>
      </c>
      <c r="C64" s="21" t="n">
        <v>0</v>
      </c>
      <c r="D64" s="21" t="n">
        <v>46234</v>
      </c>
      <c r="E64" s="20" t="inlineStr">
        <is>
          <t>IFC-ISSUED FOR CONSTRUCTION</t>
        </is>
      </c>
      <c r="F64" s="21" t="n">
        <v>4141</v>
      </c>
      <c r="G64" s="20" t="inlineStr">
        <is>
          <t>PIPE B36.10/36.19 A333 6-SMLS BE BE</t>
        </is>
      </c>
      <c r="H64" s="20" t="inlineStr">
        <is>
          <t>A333</t>
        </is>
      </c>
      <c r="I64" s="22" t="n">
        <v>20</v>
      </c>
      <c r="J64" s="21" t="inlineStr">
        <is>
          <t>STD</t>
        </is>
      </c>
      <c r="K64" s="20" t="inlineStr">
        <is>
          <t>I64108758</t>
        </is>
      </c>
      <c r="L64" s="22" t="n">
        <v>13.5</v>
      </c>
      <c r="M64" s="20">
        <f>IFERROR(LEFT(B64,SEARCH("_Rev",B64)-1),B64)</f>
        <v/>
      </c>
      <c r="N64" s="20">
        <f>IF(B64="","",IF(ISNUMBER(C64),IF(COUNTIFS($M$3:$M$1026,M64,$C$3:$C$1026,"&gt;"&amp;C64)=0,"CURRENT","SUPERSEDED"),"CURRENT"))</f>
        <v/>
      </c>
      <c r="O64" s="19" t="n"/>
    </row>
    <row r="65">
      <c r="A65" s="19" t="n"/>
      <c r="B65" s="20" t="inlineStr">
        <is>
          <t>4503-XH-DL-4141-4142-2704-JS-01_Rev0</t>
        </is>
      </c>
      <c r="C65" s="21" t="n">
        <v>0</v>
      </c>
      <c r="D65" s="21" t="n">
        <v>46234</v>
      </c>
      <c r="E65" s="20" t="inlineStr">
        <is>
          <t>IFC-ISSUED FOR CONSTRUCTION</t>
        </is>
      </c>
      <c r="F65" s="21" t="n">
        <v>4141</v>
      </c>
      <c r="G65" s="20" t="inlineStr">
        <is>
          <t>PIPE B36.10/36.19 A333 6-SMLS BE BE</t>
        </is>
      </c>
      <c r="H65" s="20" t="inlineStr">
        <is>
          <t>A333</t>
        </is>
      </c>
      <c r="I65" s="22" t="n">
        <v>2</v>
      </c>
      <c r="J65" s="21" t="inlineStr">
        <is>
          <t>XS</t>
        </is>
      </c>
      <c r="K65" s="20" t="inlineStr">
        <is>
          <t>I64108762</t>
        </is>
      </c>
      <c r="L65" s="22" t="n">
        <v>0.2</v>
      </c>
      <c r="M65" s="20">
        <f>IFERROR(LEFT(B65,SEARCH("_Rev",B65)-1),B65)</f>
        <v/>
      </c>
      <c r="N65" s="20">
        <f>IF(B65="","",IF(ISNUMBER(C65),IF(COUNTIFS($M$3:$M$1026,M65,$C$3:$C$1026,"&gt;"&amp;C65)=0,"CURRENT","SUPERSEDED"),"CURRENT"))</f>
        <v/>
      </c>
      <c r="O65" s="19" t="n"/>
    </row>
    <row r="66">
      <c r="A66" s="19" t="n"/>
      <c r="B66" s="20" t="inlineStr">
        <is>
          <t>4503-XH-DL-4141-4142-2705-JS-01_Rev0</t>
        </is>
      </c>
      <c r="C66" s="21" t="n">
        <v>0</v>
      </c>
      <c r="D66" s="21" t="n">
        <v>46234</v>
      </c>
      <c r="E66" s="20" t="inlineStr">
        <is>
          <t>IFC-ISSUED FOR CONSTRUCTION</t>
        </is>
      </c>
      <c r="F66" s="21" t="n">
        <v>4141</v>
      </c>
      <c r="G66" s="20" t="inlineStr">
        <is>
          <t>PIPE B36.10/36.19 A333 6-SMLS BE BE</t>
        </is>
      </c>
      <c r="H66" s="20" t="inlineStr">
        <is>
          <t>A333</t>
        </is>
      </c>
      <c r="I66" s="22" t="n">
        <v>20</v>
      </c>
      <c r="J66" s="21" t="inlineStr">
        <is>
          <t>STD</t>
        </is>
      </c>
      <c r="K66" s="20" t="inlineStr">
        <is>
          <t>I64108758</t>
        </is>
      </c>
      <c r="L66" s="22" t="n">
        <v>13.5</v>
      </c>
      <c r="M66" s="20">
        <f>IFERROR(LEFT(B66,SEARCH("_Rev",B66)-1),B66)</f>
        <v/>
      </c>
      <c r="N66" s="20">
        <f>IF(B66="","",IF(ISNUMBER(C66),IF(COUNTIFS($M$3:$M$1026,M66,$C$3:$C$1026,"&gt;"&amp;C66)=0,"CURRENT","SUPERSEDED"),"CURRENT"))</f>
        <v/>
      </c>
      <c r="O66" s="19" t="n"/>
    </row>
    <row r="67">
      <c r="A67" s="19" t="n"/>
      <c r="B67" s="20" t="inlineStr">
        <is>
          <t>4503-XH-DL-4141-4142-2705-JS-01_Rev0</t>
        </is>
      </c>
      <c r="C67" s="21" t="n">
        <v>0</v>
      </c>
      <c r="D67" s="21" t="n">
        <v>46234</v>
      </c>
      <c r="E67" s="20" t="inlineStr">
        <is>
          <t>IFC-ISSUED FOR CONSTRUCTION</t>
        </is>
      </c>
      <c r="F67" s="21" t="n">
        <v>4141</v>
      </c>
      <c r="G67" s="20" t="inlineStr">
        <is>
          <t>PIPE B36.10/36.19 A333 6-SMLS BE BE</t>
        </is>
      </c>
      <c r="H67" s="20" t="inlineStr">
        <is>
          <t>A333</t>
        </is>
      </c>
      <c r="I67" s="22" t="n">
        <v>2</v>
      </c>
      <c r="J67" s="21" t="inlineStr">
        <is>
          <t>XS</t>
        </is>
      </c>
      <c r="K67" s="20" t="inlineStr">
        <is>
          <t>I64108762</t>
        </is>
      </c>
      <c r="L67" s="22" t="n">
        <v>0.2</v>
      </c>
      <c r="M67" s="20">
        <f>IFERROR(LEFT(B67,SEARCH("_Rev",B67)-1),B67)</f>
        <v/>
      </c>
      <c r="N67" s="20">
        <f>IF(B67="","",IF(ISNUMBER(C67),IF(COUNTIFS($M$3:$M$1026,M67,$C$3:$C$1026,"&gt;"&amp;C67)=0,"CURRENT","SUPERSEDED"),"CURRENT"))</f>
        <v/>
      </c>
      <c r="O67" s="19" t="n"/>
    </row>
    <row r="68">
      <c r="A68" s="19" t="n"/>
      <c r="B68" s="20" t="inlineStr">
        <is>
          <t>4503-XH-DL-4141-4142-2720-JS-01_Rev0</t>
        </is>
      </c>
      <c r="C68" s="21" t="n">
        <v>0</v>
      </c>
      <c r="D68" s="21" t="n">
        <v>46234</v>
      </c>
      <c r="E68" s="20" t="inlineStr">
        <is>
          <t>IFC-ISSUED FOR CONSTRUCTION</t>
        </is>
      </c>
      <c r="F68" s="21" t="n">
        <v>4141</v>
      </c>
      <c r="G68" s="20" t="inlineStr">
        <is>
          <t>PIPE B36.10/36.19 A333 6-SMLS BE BE</t>
        </is>
      </c>
      <c r="H68" s="20" t="inlineStr">
        <is>
          <t>A333</t>
        </is>
      </c>
      <c r="I68" s="22" t="n">
        <v>20</v>
      </c>
      <c r="J68" s="21" t="inlineStr">
        <is>
          <t>STD</t>
        </is>
      </c>
      <c r="K68" s="20" t="inlineStr">
        <is>
          <t>I64108758</t>
        </is>
      </c>
      <c r="L68" s="22" t="n">
        <v>11.2</v>
      </c>
      <c r="M68" s="20">
        <f>IFERROR(LEFT(B68,SEARCH("_Rev",B68)-1),B68)</f>
        <v/>
      </c>
      <c r="N68" s="20">
        <f>IF(B68="","",IF(ISNUMBER(C68),IF(COUNTIFS($M$3:$M$1026,M68,$C$3:$C$1026,"&gt;"&amp;C68)=0,"CURRENT","SUPERSEDED"),"CURRENT"))</f>
        <v/>
      </c>
      <c r="O68" s="19" t="n"/>
    </row>
    <row r="69">
      <c r="A69" s="19" t="n"/>
      <c r="B69" s="20" t="inlineStr">
        <is>
          <t>4503-XH-DL-4141-4142-2720-JS-01_Rev0</t>
        </is>
      </c>
      <c r="C69" s="21" t="n">
        <v>0</v>
      </c>
      <c r="D69" s="21" t="n">
        <v>46234</v>
      </c>
      <c r="E69" s="20" t="inlineStr">
        <is>
          <t>IFC-ISSUED FOR CONSTRUCTION</t>
        </is>
      </c>
      <c r="F69" s="21" t="n">
        <v>4141</v>
      </c>
      <c r="G69" s="20" t="inlineStr">
        <is>
          <t>PIPE B36.10/36.19 A333 6-SMLS BE BE</t>
        </is>
      </c>
      <c r="H69" s="20" t="inlineStr">
        <is>
          <t>A333</t>
        </is>
      </c>
      <c r="I69" s="22" t="n">
        <v>2</v>
      </c>
      <c r="J69" s="21" t="inlineStr">
        <is>
          <t>XS</t>
        </is>
      </c>
      <c r="K69" s="20" t="inlineStr">
        <is>
          <t>I64108762</t>
        </is>
      </c>
      <c r="L69" s="22" t="n">
        <v>0.3</v>
      </c>
      <c r="M69" s="20">
        <f>IFERROR(LEFT(B69,SEARCH("_Rev",B69)-1),B69)</f>
        <v/>
      </c>
      <c r="N69" s="20">
        <f>IF(B69="","",IF(ISNUMBER(C69),IF(COUNTIFS($M$3:$M$1026,M69,$C$3:$C$1026,"&gt;"&amp;C69)=0,"CURRENT","SUPERSEDED"),"CURRENT"))</f>
        <v/>
      </c>
      <c r="O69" s="19" t="n"/>
    </row>
    <row r="70">
      <c r="A70" s="19" t="n"/>
      <c r="B70" s="20" t="inlineStr">
        <is>
          <t>4503-XH-DL-4141-4142-2722-JS-01_Rev0</t>
        </is>
      </c>
      <c r="C70" s="21" t="n">
        <v>0</v>
      </c>
      <c r="D70" s="21" t="n">
        <v>46234</v>
      </c>
      <c r="E70" s="20" t="inlineStr">
        <is>
          <t>IFC-ISSUED FOR CONSTRUCTION</t>
        </is>
      </c>
      <c r="F70" s="21" t="n">
        <v>4141</v>
      </c>
      <c r="G70" s="20" t="inlineStr">
        <is>
          <t>PIPE B36.10/36.19 A333 6-SMLS BE BE</t>
        </is>
      </c>
      <c r="H70" s="20" t="inlineStr">
        <is>
          <t>A333</t>
        </is>
      </c>
      <c r="I70" s="22" t="n">
        <v>20</v>
      </c>
      <c r="J70" s="21" t="inlineStr">
        <is>
          <t>STD</t>
        </is>
      </c>
      <c r="K70" s="20" t="inlineStr">
        <is>
          <t>I64108758</t>
        </is>
      </c>
      <c r="L70" s="22" t="n">
        <v>11.2</v>
      </c>
      <c r="M70" s="20">
        <f>IFERROR(LEFT(B70,SEARCH("_Rev",B70)-1),B70)</f>
        <v/>
      </c>
      <c r="N70" s="20">
        <f>IF(B70="","",IF(ISNUMBER(C70),IF(COUNTIFS($M$3:$M$1026,M70,$C$3:$C$1026,"&gt;"&amp;C70)=0,"CURRENT","SUPERSEDED"),"CURRENT"))</f>
        <v/>
      </c>
      <c r="O70" s="19" t="n"/>
    </row>
    <row r="71">
      <c r="A71" s="19" t="n"/>
      <c r="B71" s="20" t="inlineStr">
        <is>
          <t>4503-XH-DL-4141-4142-2722-JS-01_Rev0</t>
        </is>
      </c>
      <c r="C71" s="21" t="n">
        <v>0</v>
      </c>
      <c r="D71" s="21" t="n">
        <v>46234</v>
      </c>
      <c r="E71" s="20" t="inlineStr">
        <is>
          <t>IFC-ISSUED FOR CONSTRUCTION</t>
        </is>
      </c>
      <c r="F71" s="21" t="n">
        <v>4141</v>
      </c>
      <c r="G71" s="20" t="inlineStr">
        <is>
          <t>PIPE B36.10/36.19 A333 6-SMLS BE BE</t>
        </is>
      </c>
      <c r="H71" s="20" t="inlineStr">
        <is>
          <t>A333</t>
        </is>
      </c>
      <c r="I71" s="22" t="n">
        <v>2</v>
      </c>
      <c r="J71" s="21" t="inlineStr">
        <is>
          <t>XS</t>
        </is>
      </c>
      <c r="K71" s="20" t="inlineStr">
        <is>
          <t>I64108762</t>
        </is>
      </c>
      <c r="L71" s="22" t="n">
        <v>0.3</v>
      </c>
      <c r="M71" s="20">
        <f>IFERROR(LEFT(B71,SEARCH("_Rev",B71)-1),B71)</f>
        <v/>
      </c>
      <c r="N71" s="20">
        <f>IF(B71="","",IF(ISNUMBER(C71),IF(COUNTIFS($M$3:$M$1026,M71,$C$3:$C$1026,"&gt;"&amp;C71)=0,"CURRENT","SUPERSEDED"),"CURRENT"))</f>
        <v/>
      </c>
      <c r="O71" s="19" t="n"/>
    </row>
    <row r="72">
      <c r="A72" s="19" t="n"/>
      <c r="B72" s="20" t="inlineStr">
        <is>
          <t>4503-XH-DL-4141-4142-2729-JS-01_Rev0</t>
        </is>
      </c>
      <c r="C72" s="21" t="n">
        <v>0</v>
      </c>
      <c r="D72" s="21" t="n">
        <v>46234</v>
      </c>
      <c r="E72" s="20" t="inlineStr">
        <is>
          <t>IFC-ISSUED FOR CONSTRUCTION</t>
        </is>
      </c>
      <c r="F72" s="21" t="n">
        <v>4141</v>
      </c>
      <c r="G72" s="20" t="inlineStr">
        <is>
          <t>PIPE B36.10/36.19 A333 6-SMLS BE BE</t>
        </is>
      </c>
      <c r="H72" s="20" t="inlineStr">
        <is>
          <t>A333</t>
        </is>
      </c>
      <c r="I72" s="22" t="n">
        <v>20</v>
      </c>
      <c r="J72" s="21" t="inlineStr">
        <is>
          <t>STD</t>
        </is>
      </c>
      <c r="K72" s="20" t="inlineStr">
        <is>
          <t>I64108758</t>
        </is>
      </c>
      <c r="L72" s="22" t="n">
        <v>13.5</v>
      </c>
      <c r="M72" s="20">
        <f>IFERROR(LEFT(B72,SEARCH("_Rev",B72)-1),B72)</f>
        <v/>
      </c>
      <c r="N72" s="20">
        <f>IF(B72="","",IF(ISNUMBER(C72),IF(COUNTIFS($M$3:$M$1026,M72,$C$3:$C$1026,"&gt;"&amp;C72)=0,"CURRENT","SUPERSEDED"),"CURRENT"))</f>
        <v/>
      </c>
      <c r="O72" s="19" t="n"/>
    </row>
    <row r="73">
      <c r="A73" s="19" t="n"/>
      <c r="B73" s="20" t="inlineStr">
        <is>
          <t>4503-XH-DL-4141-4142-2729-JS-01_Rev0</t>
        </is>
      </c>
      <c r="C73" s="21" t="n">
        <v>0</v>
      </c>
      <c r="D73" s="21" t="n">
        <v>46234</v>
      </c>
      <c r="E73" s="20" t="inlineStr">
        <is>
          <t>IFC-ISSUED FOR CONSTRUCTION</t>
        </is>
      </c>
      <c r="F73" s="21" t="n">
        <v>4141</v>
      </c>
      <c r="G73" s="20" t="inlineStr">
        <is>
          <t>PIPE B36.10/36.19 A333 6-SMLS BE BE</t>
        </is>
      </c>
      <c r="H73" s="20" t="inlineStr">
        <is>
          <t>A333</t>
        </is>
      </c>
      <c r="I73" s="22" t="n">
        <v>2</v>
      </c>
      <c r="J73" s="21" t="inlineStr">
        <is>
          <t>XS</t>
        </is>
      </c>
      <c r="K73" s="20" t="inlineStr">
        <is>
          <t>I64108762</t>
        </is>
      </c>
      <c r="L73" s="22" t="n">
        <v>0.2</v>
      </c>
      <c r="M73" s="20">
        <f>IFERROR(LEFT(B73,SEARCH("_Rev",B73)-1),B73)</f>
        <v/>
      </c>
      <c r="N73" s="20">
        <f>IF(B73="","",IF(ISNUMBER(C73),IF(COUNTIFS($M$3:$M$1026,M73,$C$3:$C$1026,"&gt;"&amp;C73)=0,"CURRENT","SUPERSEDED"),"CURRENT"))</f>
        <v/>
      </c>
      <c r="O73" s="19" t="n"/>
    </row>
    <row r="74">
      <c r="A74" s="19" t="n"/>
      <c r="B74" s="20" t="inlineStr">
        <is>
          <t>4503-XH-DL-4141-4142-2732-JS-01_Rev0</t>
        </is>
      </c>
      <c r="C74" s="21" t="n">
        <v>0</v>
      </c>
      <c r="D74" s="21" t="n">
        <v>46234</v>
      </c>
      <c r="E74" s="20" t="inlineStr">
        <is>
          <t>IFC-ISSUED FOR CONSTRUCTION</t>
        </is>
      </c>
      <c r="F74" s="21" t="n">
        <v>4141</v>
      </c>
      <c r="G74" s="20" t="inlineStr">
        <is>
          <t>PIPE B36.10/36.19 A333 6-SMLS BE BE</t>
        </is>
      </c>
      <c r="H74" s="20" t="inlineStr">
        <is>
          <t>A333</t>
        </is>
      </c>
      <c r="I74" s="22" t="n">
        <v>20</v>
      </c>
      <c r="J74" s="21" t="inlineStr">
        <is>
          <t>STD</t>
        </is>
      </c>
      <c r="K74" s="20" t="inlineStr">
        <is>
          <t>I64108758</t>
        </is>
      </c>
      <c r="L74" s="22" t="n">
        <v>11.2</v>
      </c>
      <c r="M74" s="20">
        <f>IFERROR(LEFT(B74,SEARCH("_Rev",B74)-1),B74)</f>
        <v/>
      </c>
      <c r="N74" s="20">
        <f>IF(B74="","",IF(ISNUMBER(C74),IF(COUNTIFS($M$3:$M$1026,M74,$C$3:$C$1026,"&gt;"&amp;C74)=0,"CURRENT","SUPERSEDED"),"CURRENT"))</f>
        <v/>
      </c>
      <c r="O74" s="19" t="n"/>
    </row>
    <row r="75">
      <c r="A75" s="19" t="n"/>
      <c r="B75" s="20" t="inlineStr">
        <is>
          <t>4503-XH-DL-4141-4142-2732-JS-01_Rev0</t>
        </is>
      </c>
      <c r="C75" s="21" t="n">
        <v>0</v>
      </c>
      <c r="D75" s="21" t="n">
        <v>46234</v>
      </c>
      <c r="E75" s="20" t="inlineStr">
        <is>
          <t>IFC-ISSUED FOR CONSTRUCTION</t>
        </is>
      </c>
      <c r="F75" s="21" t="n">
        <v>4141</v>
      </c>
      <c r="G75" s="20" t="inlineStr">
        <is>
          <t>PIPE B36.10/36.19 A333 6-SMLS BE BE</t>
        </is>
      </c>
      <c r="H75" s="20" t="inlineStr">
        <is>
          <t>A333</t>
        </is>
      </c>
      <c r="I75" s="22" t="n">
        <v>2</v>
      </c>
      <c r="J75" s="21" t="inlineStr">
        <is>
          <t>XS</t>
        </is>
      </c>
      <c r="K75" s="20" t="inlineStr">
        <is>
          <t>I64108762</t>
        </is>
      </c>
      <c r="L75" s="22" t="n">
        <v>0.3</v>
      </c>
      <c r="M75" s="20">
        <f>IFERROR(LEFT(B75,SEARCH("_Rev",B75)-1),B75)</f>
        <v/>
      </c>
      <c r="N75" s="20">
        <f>IF(B75="","",IF(ISNUMBER(C75),IF(COUNTIFS($M$3:$M$1026,M75,$C$3:$C$1026,"&gt;"&amp;C75)=0,"CURRENT","SUPERSEDED"),"CURRENT"))</f>
        <v/>
      </c>
      <c r="O75" s="19" t="n"/>
    </row>
    <row r="76">
      <c r="A76" s="19" t="n"/>
      <c r="B76" s="20" t="inlineStr">
        <is>
          <t>4503-XH-DL-4141-4630-1720-CWR-01_Rev0</t>
        </is>
      </c>
      <c r="C76" s="21" t="n">
        <v>0</v>
      </c>
      <c r="D76" s="21" t="n">
        <v>46234</v>
      </c>
      <c r="E76" s="20" t="inlineStr">
        <is>
          <t>IFC-ISSUED FOR CONSTRUCTION</t>
        </is>
      </c>
      <c r="F76" s="21" t="n">
        <v>4141</v>
      </c>
      <c r="G76" s="20" t="inlineStr">
        <is>
          <t>PIPE B36.10/36.19 A333 6-SMLS BE BE</t>
        </is>
      </c>
      <c r="H76" s="20" t="inlineStr">
        <is>
          <t>A333</t>
        </is>
      </c>
      <c r="I76" s="22" t="n">
        <v>20</v>
      </c>
      <c r="J76" s="21" t="inlineStr">
        <is>
          <t>STD</t>
        </is>
      </c>
      <c r="K76" s="20" t="inlineStr">
        <is>
          <t>I64108758</t>
        </is>
      </c>
      <c r="L76" s="22" t="n">
        <v>1.8</v>
      </c>
      <c r="M76" s="20">
        <f>IFERROR(LEFT(B76,SEARCH("_Rev",B76)-1),B76)</f>
        <v/>
      </c>
      <c r="N76" s="20">
        <f>IF(B76="","",IF(ISNUMBER(C76),IF(COUNTIFS($M$3:$M$1026,M76,$C$3:$C$1026,"&gt;"&amp;C76)=0,"CURRENT","SUPERSEDED"),"CURRENT"))</f>
        <v/>
      </c>
      <c r="O76" s="19" t="n"/>
    </row>
    <row r="77">
      <c r="A77" s="19" t="n"/>
      <c r="B77" s="20" t="inlineStr">
        <is>
          <t>4503-XH-DL-4141-4630-1720-CWR-01_Rev0</t>
        </is>
      </c>
      <c r="C77" s="21" t="n">
        <v>0</v>
      </c>
      <c r="D77" s="21" t="n">
        <v>46234</v>
      </c>
      <c r="E77" s="20" t="inlineStr">
        <is>
          <t>IFC-ISSUED FOR CONSTRUCTION</t>
        </is>
      </c>
      <c r="F77" s="21" t="n">
        <v>4141</v>
      </c>
      <c r="G77" s="20" t="inlineStr">
        <is>
          <t>PIPE B36.10/36.19 A333 6-SMLS BE BE</t>
        </is>
      </c>
      <c r="H77" s="20" t="inlineStr">
        <is>
          <t>A333</t>
        </is>
      </c>
      <c r="I77" s="22" t="n">
        <v>2</v>
      </c>
      <c r="J77" s="21" t="inlineStr">
        <is>
          <t>XS</t>
        </is>
      </c>
      <c r="K77" s="20" t="inlineStr">
        <is>
          <t>I64108762</t>
        </is>
      </c>
      <c r="L77" s="22" t="n">
        <v>0.3</v>
      </c>
      <c r="M77" s="20">
        <f>IFERROR(LEFT(B77,SEARCH("_Rev",B77)-1),B77)</f>
        <v/>
      </c>
      <c r="N77" s="20">
        <f>IF(B77="","",IF(ISNUMBER(C77),IF(COUNTIFS($M$3:$M$1026,M77,$C$3:$C$1026,"&gt;"&amp;C77)=0,"CURRENT","SUPERSEDED"),"CURRENT"))</f>
        <v/>
      </c>
      <c r="O77" s="19" t="n"/>
    </row>
    <row r="78">
      <c r="A78" s="19" t="n"/>
      <c r="B78" s="20" t="inlineStr">
        <is>
          <t>4503-XH-DL-4141-4630-1732-CWR-01_Rev0</t>
        </is>
      </c>
      <c r="C78" s="21" t="n">
        <v>0</v>
      </c>
      <c r="D78" s="21" t="n">
        <v>46234</v>
      </c>
      <c r="E78" s="20" t="inlineStr">
        <is>
          <t>IFC-ISSUED FOR CONSTRUCTION</t>
        </is>
      </c>
      <c r="F78" s="21" t="n">
        <v>4141</v>
      </c>
      <c r="G78" s="20" t="inlineStr">
        <is>
          <t>PIPE B36.10/36.19 A333 6-SMLS BE BE</t>
        </is>
      </c>
      <c r="H78" s="20" t="inlineStr">
        <is>
          <t>A333</t>
        </is>
      </c>
      <c r="I78" s="22" t="n">
        <v>20</v>
      </c>
      <c r="J78" s="21" t="inlineStr">
        <is>
          <t>STD</t>
        </is>
      </c>
      <c r="K78" s="20" t="inlineStr">
        <is>
          <t>I64108758</t>
        </is>
      </c>
      <c r="L78" s="22" t="n">
        <v>1.8</v>
      </c>
      <c r="M78" s="20">
        <f>IFERROR(LEFT(B78,SEARCH("_Rev",B78)-1),B78)</f>
        <v/>
      </c>
      <c r="N78" s="20">
        <f>IF(B78="","",IF(ISNUMBER(C78),IF(COUNTIFS($M$3:$M$1026,M78,$C$3:$C$1026,"&gt;"&amp;C78)=0,"CURRENT","SUPERSEDED"),"CURRENT"))</f>
        <v/>
      </c>
      <c r="O78" s="19" t="n"/>
    </row>
    <row r="79">
      <c r="A79" s="19" t="n"/>
      <c r="B79" s="20" t="inlineStr">
        <is>
          <t>4503-XH-DL-4141-4630-1732-CWR-01_Rev0</t>
        </is>
      </c>
      <c r="C79" s="21" t="n">
        <v>0</v>
      </c>
      <c r="D79" s="21" t="n">
        <v>46234</v>
      </c>
      <c r="E79" s="20" t="inlineStr">
        <is>
          <t>IFC-ISSUED FOR CONSTRUCTION</t>
        </is>
      </c>
      <c r="F79" s="21" t="n">
        <v>4141</v>
      </c>
      <c r="G79" s="20" t="inlineStr">
        <is>
          <t>PIPE B36.10/36.19 A333 6-SMLS BE BE</t>
        </is>
      </c>
      <c r="H79" s="20" t="inlineStr">
        <is>
          <t>A333</t>
        </is>
      </c>
      <c r="I79" s="22" t="n">
        <v>2</v>
      </c>
      <c r="J79" s="21" t="inlineStr">
        <is>
          <t>XS</t>
        </is>
      </c>
      <c r="K79" s="20" t="inlineStr">
        <is>
          <t>I64108762</t>
        </is>
      </c>
      <c r="L79" s="22" t="n">
        <v>0.3</v>
      </c>
      <c r="M79" s="20">
        <f>IFERROR(LEFT(B79,SEARCH("_Rev",B79)-1),B79)</f>
        <v/>
      </c>
      <c r="N79" s="20">
        <f>IF(B79="","",IF(ISNUMBER(C79),IF(COUNTIFS($M$3:$M$1026,M79,$C$3:$C$1026,"&gt;"&amp;C79)=0,"CURRENT","SUPERSEDED"),"CURRENT"))</f>
        <v/>
      </c>
      <c r="O79" s="19" t="n"/>
    </row>
    <row r="80">
      <c r="A80" s="19" t="n"/>
      <c r="B80" s="20" t="inlineStr">
        <is>
          <t>4503-XH-DL-4141-4630-2721-CWR-01_Rev0</t>
        </is>
      </c>
      <c r="C80" s="21" t="n">
        <v>0</v>
      </c>
      <c r="D80" s="21" t="n">
        <v>46234</v>
      </c>
      <c r="E80" s="20" t="inlineStr">
        <is>
          <t>IFC-ISSUED FOR CONSTRUCTION</t>
        </is>
      </c>
      <c r="F80" s="21" t="n">
        <v>4141</v>
      </c>
      <c r="G80" s="20" t="inlineStr">
        <is>
          <t>PIPE B36.10/36.19 A333 6-SMLS BE BE</t>
        </is>
      </c>
      <c r="H80" s="20" t="inlineStr">
        <is>
          <t>A333</t>
        </is>
      </c>
      <c r="I80" s="22" t="n">
        <v>20</v>
      </c>
      <c r="J80" s="21" t="inlineStr">
        <is>
          <t>STD</t>
        </is>
      </c>
      <c r="K80" s="20" t="inlineStr">
        <is>
          <t>I64108758</t>
        </is>
      </c>
      <c r="L80" s="22" t="n">
        <v>1.8</v>
      </c>
      <c r="M80" s="20">
        <f>IFERROR(LEFT(B80,SEARCH("_Rev",B80)-1),B80)</f>
        <v/>
      </c>
      <c r="N80" s="20">
        <f>IF(B80="","",IF(ISNUMBER(C80),IF(COUNTIFS($M$3:$M$1026,M80,$C$3:$C$1026,"&gt;"&amp;C80)=0,"CURRENT","SUPERSEDED"),"CURRENT"))</f>
        <v/>
      </c>
      <c r="O80" s="19" t="n"/>
    </row>
    <row r="81">
      <c r="A81" s="19" t="n"/>
      <c r="B81" s="20" t="inlineStr">
        <is>
          <t>4503-XH-DL-4141-4630-2721-CWR-01_Rev0</t>
        </is>
      </c>
      <c r="C81" s="21" t="n">
        <v>0</v>
      </c>
      <c r="D81" s="21" t="n">
        <v>46234</v>
      </c>
      <c r="E81" s="20" t="inlineStr">
        <is>
          <t>IFC-ISSUED FOR CONSTRUCTION</t>
        </is>
      </c>
      <c r="F81" s="21" t="n">
        <v>4141</v>
      </c>
      <c r="G81" s="20" t="inlineStr">
        <is>
          <t>PIPE B36.10/36.19 A333 6-SMLS BE BE</t>
        </is>
      </c>
      <c r="H81" s="20" t="inlineStr">
        <is>
          <t>A333</t>
        </is>
      </c>
      <c r="I81" s="22" t="n">
        <v>2</v>
      </c>
      <c r="J81" s="21" t="inlineStr">
        <is>
          <t>XS</t>
        </is>
      </c>
      <c r="K81" s="20" t="inlineStr">
        <is>
          <t>I64108762</t>
        </is>
      </c>
      <c r="L81" s="22" t="n">
        <v>0.3</v>
      </c>
      <c r="M81" s="20">
        <f>IFERROR(LEFT(B81,SEARCH("_Rev",B81)-1),B81)</f>
        <v/>
      </c>
      <c r="N81" s="20">
        <f>IF(B81="","",IF(ISNUMBER(C81),IF(COUNTIFS($M$3:$M$1026,M81,$C$3:$C$1026,"&gt;"&amp;C81)=0,"CURRENT","SUPERSEDED"),"CURRENT"))</f>
        <v/>
      </c>
      <c r="O81" s="19" t="n"/>
    </row>
    <row r="82">
      <c r="A82" s="19" t="n"/>
      <c r="B82" s="20" t="inlineStr">
        <is>
          <t>4503-XH-DL-4141-4630-2731-CWR-01_Rev0</t>
        </is>
      </c>
      <c r="C82" s="21" t="n">
        <v>0</v>
      </c>
      <c r="D82" s="21" t="n">
        <v>46234</v>
      </c>
      <c r="E82" s="20" t="inlineStr">
        <is>
          <t>IFC-ISSUED FOR CONSTRUCTION</t>
        </is>
      </c>
      <c r="F82" s="21" t="n">
        <v>4141</v>
      </c>
      <c r="G82" s="20" t="inlineStr">
        <is>
          <t>PIPE B36.10/36.19 A333 6-SMLS BE BE</t>
        </is>
      </c>
      <c r="H82" s="20" t="inlineStr">
        <is>
          <t>A333</t>
        </is>
      </c>
      <c r="I82" s="22" t="n">
        <v>20</v>
      </c>
      <c r="J82" s="21" t="inlineStr">
        <is>
          <t>STD</t>
        </is>
      </c>
      <c r="K82" s="20" t="inlineStr">
        <is>
          <t>I64108758</t>
        </is>
      </c>
      <c r="L82" s="22" t="n">
        <v>1.8</v>
      </c>
      <c r="M82" s="20">
        <f>IFERROR(LEFT(B82,SEARCH("_Rev",B82)-1),B82)</f>
        <v/>
      </c>
      <c r="N82" s="20">
        <f>IF(B82="","",IF(ISNUMBER(C82),IF(COUNTIFS($M$3:$M$1026,M82,$C$3:$C$1026,"&gt;"&amp;C82)=0,"CURRENT","SUPERSEDED"),"CURRENT"))</f>
        <v/>
      </c>
      <c r="O82" s="19" t="n"/>
    </row>
    <row r="83">
      <c r="A83" s="19" t="n"/>
      <c r="B83" s="20" t="inlineStr">
        <is>
          <t>4503-XH-DL-4141-4630-2731-CWR-01_Rev0</t>
        </is>
      </c>
      <c r="C83" s="21" t="n">
        <v>0</v>
      </c>
      <c r="D83" s="21" t="n">
        <v>46234</v>
      </c>
      <c r="E83" s="20" t="inlineStr">
        <is>
          <t>IFC-ISSUED FOR CONSTRUCTION</t>
        </is>
      </c>
      <c r="F83" s="21" t="n">
        <v>4141</v>
      </c>
      <c r="G83" s="20" t="inlineStr">
        <is>
          <t>PIPE B36.10/36.19 A333 6-SMLS BE BE</t>
        </is>
      </c>
      <c r="H83" s="20" t="inlineStr">
        <is>
          <t>A333</t>
        </is>
      </c>
      <c r="I83" s="22" t="n">
        <v>2</v>
      </c>
      <c r="J83" s="21" t="inlineStr">
        <is>
          <t>XS</t>
        </is>
      </c>
      <c r="K83" s="20" t="inlineStr">
        <is>
          <t>I64108762</t>
        </is>
      </c>
      <c r="L83" s="22" t="n">
        <v>0.3</v>
      </c>
      <c r="M83" s="20">
        <f>IFERROR(LEFT(B83,SEARCH("_Rev",B83)-1),B83)</f>
        <v/>
      </c>
      <c r="N83" s="20">
        <f>IF(B83="","",IF(ISNUMBER(C83),IF(COUNTIFS($M$3:$M$1026,M83,$C$3:$C$1026,"&gt;"&amp;C83)=0,"CURRENT","SUPERSEDED"),"CURRENT"))</f>
        <v/>
      </c>
      <c r="O83" s="19" t="n"/>
    </row>
    <row r="84">
      <c r="A84" s="19" t="n"/>
      <c r="B84" s="20" t="inlineStr">
        <is>
          <t>4503-XH-DL-4141-4630-2811-CWS-01_Rev0</t>
        </is>
      </c>
      <c r="C84" s="21" t="n">
        <v>0</v>
      </c>
      <c r="D84" s="21" t="n">
        <v>46234</v>
      </c>
      <c r="E84" s="20" t="inlineStr">
        <is>
          <t>IFC-ISSUED FOR CONSTRUCTION</t>
        </is>
      </c>
      <c r="F84" s="21" t="n">
        <v>4141</v>
      </c>
      <c r="G84" s="20" t="inlineStr">
        <is>
          <t>PIPE B36.10/36.19 A333 6-SMLS BE BE</t>
        </is>
      </c>
      <c r="H84" s="20" t="inlineStr">
        <is>
          <t>A333</t>
        </is>
      </c>
      <c r="I84" s="22" t="n">
        <v>20</v>
      </c>
      <c r="J84" s="21" t="inlineStr">
        <is>
          <t>STD</t>
        </is>
      </c>
      <c r="K84" s="20" t="inlineStr">
        <is>
          <t>I64108758</t>
        </is>
      </c>
      <c r="L84" s="22" t="n">
        <v>0.6</v>
      </c>
      <c r="M84" s="20">
        <f>IFERROR(LEFT(B84,SEARCH("_Rev",B84)-1),B84)</f>
        <v/>
      </c>
      <c r="N84" s="20">
        <f>IF(B84="","",IF(ISNUMBER(C84),IF(COUNTIFS($M$3:$M$1026,M84,$C$3:$C$1026,"&gt;"&amp;C84)=0,"CURRENT","SUPERSEDED"),"CURRENT"))</f>
        <v/>
      </c>
      <c r="O84" s="19" t="n"/>
    </row>
    <row r="85">
      <c r="A85" s="19" t="n"/>
      <c r="B85" s="20" t="inlineStr">
        <is>
          <t>4503-XH-DL-4141-4630-2811-CWS-01_Rev0</t>
        </is>
      </c>
      <c r="C85" s="21" t="n">
        <v>0</v>
      </c>
      <c r="D85" s="21" t="n">
        <v>46234</v>
      </c>
      <c r="E85" s="20" t="inlineStr">
        <is>
          <t>IFC-ISSUED FOR CONSTRUCTION</t>
        </is>
      </c>
      <c r="F85" s="21" t="n">
        <v>4141</v>
      </c>
      <c r="G85" s="20" t="inlineStr">
        <is>
          <t>PIPE B36.10/36.19 A333 6-SMLS BE BE</t>
        </is>
      </c>
      <c r="H85" s="20" t="inlineStr">
        <is>
          <t>A333</t>
        </is>
      </c>
      <c r="I85" s="22" t="n">
        <v>2</v>
      </c>
      <c r="J85" s="21" t="inlineStr">
        <is>
          <t>XS</t>
        </is>
      </c>
      <c r="K85" s="20" t="inlineStr">
        <is>
          <t>I64108762</t>
        </is>
      </c>
      <c r="L85" s="22" t="n">
        <v>0.1</v>
      </c>
      <c r="M85" s="20">
        <f>IFERROR(LEFT(B85,SEARCH("_Rev",B85)-1),B85)</f>
        <v/>
      </c>
      <c r="N85" s="20">
        <f>IF(B85="","",IF(ISNUMBER(C85),IF(COUNTIFS($M$3:$M$1026,M85,$C$3:$C$1026,"&gt;"&amp;C85)=0,"CURRENT","SUPERSEDED"),"CURRENT"))</f>
        <v/>
      </c>
      <c r="O85" s="19" t="n"/>
    </row>
    <row r="86">
      <c r="A86" s="19" t="n"/>
      <c r="B86" s="20" t="inlineStr">
        <is>
          <t>4503-XH-DL-4141-4630-5015-CWR-01_Rev0</t>
        </is>
      </c>
      <c r="C86" s="21" t="n">
        <v>0</v>
      </c>
      <c r="D86" s="21" t="n">
        <v>46234</v>
      </c>
      <c r="E86" s="20" t="inlineStr">
        <is>
          <t>IFC-ISSUED FOR CONSTRUCTION</t>
        </is>
      </c>
      <c r="F86" s="21" t="n">
        <v>4141</v>
      </c>
      <c r="G86" s="20" t="inlineStr">
        <is>
          <t>PIPE B36.10/36.19 A333 6-SMLS BE BE</t>
        </is>
      </c>
      <c r="H86" s="20" t="inlineStr">
        <is>
          <t>A333</t>
        </is>
      </c>
      <c r="I86" s="22" t="n">
        <v>20</v>
      </c>
      <c r="J86" s="21" t="inlineStr">
        <is>
          <t>STD</t>
        </is>
      </c>
      <c r="K86" s="20" t="inlineStr">
        <is>
          <t>I64108758</t>
        </is>
      </c>
      <c r="L86" s="22" t="n">
        <v>1.8</v>
      </c>
      <c r="M86" s="20">
        <f>IFERROR(LEFT(B86,SEARCH("_Rev",B86)-1),B86)</f>
        <v/>
      </c>
      <c r="N86" s="20">
        <f>IF(B86="","",IF(ISNUMBER(C86),IF(COUNTIFS($M$3:$M$1026,M86,$C$3:$C$1026,"&gt;"&amp;C86)=0,"CURRENT","SUPERSEDED"),"CURRENT"))</f>
        <v/>
      </c>
      <c r="O86" s="19" t="n"/>
    </row>
    <row r="87">
      <c r="A87" s="19" t="n"/>
      <c r="B87" s="20" t="inlineStr">
        <is>
          <t>4503-XH-DL-4141-4630-5015-CWR-01_Rev0</t>
        </is>
      </c>
      <c r="C87" s="21" t="n">
        <v>0</v>
      </c>
      <c r="D87" s="21" t="n">
        <v>46234</v>
      </c>
      <c r="E87" s="20" t="inlineStr">
        <is>
          <t>IFC-ISSUED FOR CONSTRUCTION</t>
        </is>
      </c>
      <c r="F87" s="21" t="n">
        <v>4141</v>
      </c>
      <c r="G87" s="20" t="inlineStr">
        <is>
          <t>PIPE B36.10/36.19 A333 6-SMLS BE BE</t>
        </is>
      </c>
      <c r="H87" s="20" t="inlineStr">
        <is>
          <t>A333</t>
        </is>
      </c>
      <c r="I87" s="22" t="n">
        <v>2</v>
      </c>
      <c r="J87" s="21" t="inlineStr">
        <is>
          <t>XS</t>
        </is>
      </c>
      <c r="K87" s="20" t="inlineStr">
        <is>
          <t>I64108762</t>
        </is>
      </c>
      <c r="L87" s="22" t="n">
        <v>0.3</v>
      </c>
      <c r="M87" s="20">
        <f>IFERROR(LEFT(B87,SEARCH("_Rev",B87)-1),B87)</f>
        <v/>
      </c>
      <c r="N87" s="20">
        <f>IF(B87="","",IF(ISNUMBER(C87),IF(COUNTIFS($M$3:$M$1026,M87,$C$3:$C$1026,"&gt;"&amp;C87)=0,"CURRENT","SUPERSEDED"),"CURRENT"))</f>
        <v/>
      </c>
      <c r="O87" s="19" t="n"/>
    </row>
    <row r="88">
      <c r="A88" s="19" t="n"/>
      <c r="B88" s="20" t="inlineStr">
        <is>
          <t>4503-XH-DL-4141-4630-5016-CWR-01_Rev0</t>
        </is>
      </c>
      <c r="C88" s="21" t="n">
        <v>0</v>
      </c>
      <c r="D88" s="21" t="n">
        <v>46234</v>
      </c>
      <c r="E88" s="20" t="inlineStr">
        <is>
          <t>IFC-ISSUED FOR CONSTRUCTION</t>
        </is>
      </c>
      <c r="F88" s="21" t="n">
        <v>4141</v>
      </c>
      <c r="G88" s="20" t="inlineStr">
        <is>
          <t>PIPE B36.10/36.19 A333 6-SMLS BE BE</t>
        </is>
      </c>
      <c r="H88" s="20" t="inlineStr">
        <is>
          <t>A333</t>
        </is>
      </c>
      <c r="I88" s="22" t="n">
        <v>20</v>
      </c>
      <c r="J88" s="21" t="inlineStr">
        <is>
          <t>STD</t>
        </is>
      </c>
      <c r="K88" s="20" t="inlineStr">
        <is>
          <t>I64108758</t>
        </is>
      </c>
      <c r="L88" s="22" t="n">
        <v>1.8</v>
      </c>
      <c r="M88" s="20">
        <f>IFERROR(LEFT(B88,SEARCH("_Rev",B88)-1),B88)</f>
        <v/>
      </c>
      <c r="N88" s="20">
        <f>IF(B88="","",IF(ISNUMBER(C88),IF(COUNTIFS($M$3:$M$1026,M88,$C$3:$C$1026,"&gt;"&amp;C88)=0,"CURRENT","SUPERSEDED"),"CURRENT"))</f>
        <v/>
      </c>
      <c r="O88" s="19" t="n"/>
    </row>
    <row r="89">
      <c r="A89" s="19" t="n"/>
      <c r="B89" s="20" t="inlineStr">
        <is>
          <t>4503-XH-DL-4141-4630-5016-CWR-01_Rev0</t>
        </is>
      </c>
      <c r="C89" s="21" t="n">
        <v>0</v>
      </c>
      <c r="D89" s="21" t="n">
        <v>46234</v>
      </c>
      <c r="E89" s="20" t="inlineStr">
        <is>
          <t>IFC-ISSUED FOR CONSTRUCTION</t>
        </is>
      </c>
      <c r="F89" s="21" t="n">
        <v>4141</v>
      </c>
      <c r="G89" s="20" t="inlineStr">
        <is>
          <t>PIPE B36.10/36.19 A333 6-SMLS BE BE</t>
        </is>
      </c>
      <c r="H89" s="20" t="inlineStr">
        <is>
          <t>A333</t>
        </is>
      </c>
      <c r="I89" s="22" t="n">
        <v>2</v>
      </c>
      <c r="J89" s="21" t="inlineStr">
        <is>
          <t>XS</t>
        </is>
      </c>
      <c r="K89" s="20" t="inlineStr">
        <is>
          <t>I64108762</t>
        </is>
      </c>
      <c r="L89" s="22" t="n">
        <v>0.3</v>
      </c>
      <c r="M89" s="20">
        <f>IFERROR(LEFT(B89,SEARCH("_Rev",B89)-1),B89)</f>
        <v/>
      </c>
      <c r="N89" s="20">
        <f>IF(B89="","",IF(ISNUMBER(C89),IF(COUNTIFS($M$3:$M$1026,M89,$C$3:$C$1026,"&gt;"&amp;C89)=0,"CURRENT","SUPERSEDED"),"CURRENT"))</f>
        <v/>
      </c>
      <c r="O89" s="19" t="n"/>
    </row>
    <row r="90">
      <c r="A90" s="19" t="n"/>
      <c r="B90" s="20" t="inlineStr">
        <is>
          <t>4503-XH-DL-4141-4630-8000-CWR-01_Rev0</t>
        </is>
      </c>
      <c r="C90" s="21" t="n">
        <v>0</v>
      </c>
      <c r="D90" s="21" t="n">
        <v>46234</v>
      </c>
      <c r="E90" s="20" t="inlineStr">
        <is>
          <t>IFC-ISSUED FOR CONSTRUCTION</t>
        </is>
      </c>
      <c r="F90" s="21" t="n">
        <v>4141</v>
      </c>
      <c r="G90" s="20" t="inlineStr">
        <is>
          <t>PIPE B36.10/36.19 A333 6-SMLS BE BE</t>
        </is>
      </c>
      <c r="H90" s="20" t="inlineStr">
        <is>
          <t>A333</t>
        </is>
      </c>
      <c r="I90" s="22" t="n">
        <v>20</v>
      </c>
      <c r="J90" s="21" t="inlineStr">
        <is>
          <t>STD</t>
        </is>
      </c>
      <c r="K90" s="20" t="inlineStr">
        <is>
          <t>I64108758</t>
        </is>
      </c>
      <c r="L90" s="22" t="n">
        <v>9</v>
      </c>
      <c r="M90" s="20">
        <f>IFERROR(LEFT(B90,SEARCH("_Rev",B90)-1),B90)</f>
        <v/>
      </c>
      <c r="N90" s="20">
        <f>IF(B90="","",IF(ISNUMBER(C90),IF(COUNTIFS($M$3:$M$1026,M90,$C$3:$C$1026,"&gt;"&amp;C90)=0,"CURRENT","SUPERSEDED"),"CURRENT"))</f>
        <v/>
      </c>
      <c r="O90" s="19" t="n"/>
    </row>
    <row r="91">
      <c r="A91" s="19" t="n"/>
      <c r="B91" s="20" t="inlineStr">
        <is>
          <t>4503-XH-DL-4141-4630-8000-CWS-01_Rev0</t>
        </is>
      </c>
      <c r="C91" s="21" t="n">
        <v>0</v>
      </c>
      <c r="D91" s="21" t="n">
        <v>46234</v>
      </c>
      <c r="E91" s="20" t="inlineStr">
        <is>
          <t>IFC-ISSUED FOR CONSTRUCTION</t>
        </is>
      </c>
      <c r="F91" s="21" t="n">
        <v>4141</v>
      </c>
      <c r="G91" s="20" t="inlineStr">
        <is>
          <t>PIPE B36.10/36.19 A333 6-SMLS BE BE</t>
        </is>
      </c>
      <c r="H91" s="20" t="inlineStr">
        <is>
          <t>A333</t>
        </is>
      </c>
      <c r="I91" s="22" t="n">
        <v>20</v>
      </c>
      <c r="J91" s="21" t="inlineStr">
        <is>
          <t>STD</t>
        </is>
      </c>
      <c r="K91" s="20" t="inlineStr">
        <is>
          <t>I64108758</t>
        </is>
      </c>
      <c r="L91" s="22" t="n">
        <v>6.5</v>
      </c>
      <c r="M91" s="20">
        <f>IFERROR(LEFT(B91,SEARCH("_Rev",B91)-1),B91)</f>
        <v/>
      </c>
      <c r="N91" s="20">
        <f>IF(B91="","",IF(ISNUMBER(C91),IF(COUNTIFS($M$3:$M$1026,M91,$C$3:$C$1026,"&gt;"&amp;C91)=0,"CURRENT","SUPERSEDED"),"CURRENT"))</f>
        <v/>
      </c>
      <c r="O91" s="19" t="n"/>
    </row>
    <row r="92">
      <c r="A92" s="19" t="n"/>
      <c r="B92" s="20" t="inlineStr">
        <is>
          <t>4503-XH-DL-4141-4630-8001-CWR-01_Rev0</t>
        </is>
      </c>
      <c r="C92" s="21" t="n">
        <v>0</v>
      </c>
      <c r="D92" s="21" t="n">
        <v>46234</v>
      </c>
      <c r="E92" s="20" t="inlineStr">
        <is>
          <t>IFC-ISSUED FOR CONSTRUCTION</t>
        </is>
      </c>
      <c r="F92" s="21" t="n">
        <v>4141</v>
      </c>
      <c r="G92" s="20" t="inlineStr">
        <is>
          <t>PIPE B36.10/36.19 A333 6-SMLS BE BE</t>
        </is>
      </c>
      <c r="H92" s="20" t="inlineStr">
        <is>
          <t>A333</t>
        </is>
      </c>
      <c r="I92" s="22" t="n">
        <v>20</v>
      </c>
      <c r="J92" s="21" t="inlineStr">
        <is>
          <t>STD</t>
        </is>
      </c>
      <c r="K92" s="20" t="inlineStr">
        <is>
          <t>I64108758</t>
        </is>
      </c>
      <c r="L92" s="22" t="n">
        <v>9</v>
      </c>
      <c r="M92" s="20">
        <f>IFERROR(LEFT(B92,SEARCH("_Rev",B92)-1),B92)</f>
        <v/>
      </c>
      <c r="N92" s="20">
        <f>IF(B92="","",IF(ISNUMBER(C92),IF(COUNTIFS($M$3:$M$1026,M92,$C$3:$C$1026,"&gt;"&amp;C92)=0,"CURRENT","SUPERSEDED"),"CURRENT"))</f>
        <v/>
      </c>
      <c r="O92" s="19" t="n"/>
    </row>
    <row r="93">
      <c r="A93" s="19" t="n"/>
      <c r="B93" s="20" t="inlineStr">
        <is>
          <t>4503-XH-DL-4141-4630-8001-CWS-01_Rev0</t>
        </is>
      </c>
      <c r="C93" s="21" t="n">
        <v>0</v>
      </c>
      <c r="D93" s="21" t="n">
        <v>46234</v>
      </c>
      <c r="E93" s="20" t="inlineStr">
        <is>
          <t>IFC-ISSUED FOR CONSTRUCTION</t>
        </is>
      </c>
      <c r="F93" s="21" t="n">
        <v>4141</v>
      </c>
      <c r="G93" s="20" t="inlineStr">
        <is>
          <t>PIPE B36.10/36.19 A333 6-SMLS BE BE</t>
        </is>
      </c>
      <c r="H93" s="20" t="inlineStr">
        <is>
          <t>A333</t>
        </is>
      </c>
      <c r="I93" s="22" t="n">
        <v>20</v>
      </c>
      <c r="J93" s="21" t="inlineStr">
        <is>
          <t>STD</t>
        </is>
      </c>
      <c r="K93" s="20" t="inlineStr">
        <is>
          <t>I64108758</t>
        </is>
      </c>
      <c r="L93" s="22" t="n">
        <v>6.5</v>
      </c>
      <c r="M93" s="20">
        <f>IFERROR(LEFT(B93,SEARCH("_Rev",B93)-1),B93)</f>
        <v/>
      </c>
      <c r="N93" s="20">
        <f>IF(B93="","",IF(ISNUMBER(C93),IF(COUNTIFS($M$3:$M$1026,M93,$C$3:$C$1026,"&gt;"&amp;C93)=0,"CURRENT","SUPERSEDED"),"CURRENT"))</f>
        <v/>
      </c>
      <c r="O93" s="19" t="n"/>
    </row>
    <row r="94">
      <c r="A94" s="19" t="n"/>
      <c r="B94" s="20" t="inlineStr">
        <is>
          <t>4503-XH-DL-4141-4630-8002-CWR-01_Rev0</t>
        </is>
      </c>
      <c r="C94" s="21" t="n">
        <v>0</v>
      </c>
      <c r="D94" s="21" t="n">
        <v>46234</v>
      </c>
      <c r="E94" s="20" t="inlineStr">
        <is>
          <t>IFC-ISSUED FOR CONSTRUCTION</t>
        </is>
      </c>
      <c r="F94" s="21" t="n">
        <v>4141</v>
      </c>
      <c r="G94" s="20" t="inlineStr">
        <is>
          <t>PIPE B36.10/36.19 A333 6-SMLS BE BE</t>
        </is>
      </c>
      <c r="H94" s="20" t="inlineStr">
        <is>
          <t>A333</t>
        </is>
      </c>
      <c r="I94" s="22" t="n">
        <v>20</v>
      </c>
      <c r="J94" s="21" t="inlineStr">
        <is>
          <t>STD</t>
        </is>
      </c>
      <c r="K94" s="20" t="inlineStr">
        <is>
          <t>I64108758</t>
        </is>
      </c>
      <c r="L94" s="22" t="n">
        <v>9</v>
      </c>
      <c r="M94" s="20">
        <f>IFERROR(LEFT(B94,SEARCH("_Rev",B94)-1),B94)</f>
        <v/>
      </c>
      <c r="N94" s="20">
        <f>IF(B94="","",IF(ISNUMBER(C94),IF(COUNTIFS($M$3:$M$1026,M94,$C$3:$C$1026,"&gt;"&amp;C94)=0,"CURRENT","SUPERSEDED"),"CURRENT"))</f>
        <v/>
      </c>
      <c r="O94" s="19" t="n"/>
    </row>
    <row r="95">
      <c r="A95" s="19" t="n"/>
      <c r="B95" s="20" t="inlineStr">
        <is>
          <t>4503-XH-DL-4141-4630-8002-CWS-01_Rev0</t>
        </is>
      </c>
      <c r="C95" s="21" t="n">
        <v>0</v>
      </c>
      <c r="D95" s="21" t="n">
        <v>46234</v>
      </c>
      <c r="E95" s="20" t="inlineStr">
        <is>
          <t>IFC-ISSUED FOR CONSTRUCTION</t>
        </is>
      </c>
      <c r="F95" s="21" t="n">
        <v>4141</v>
      </c>
      <c r="G95" s="20" t="inlineStr">
        <is>
          <t>PIPE B36.10/36.19 A333 6-SMLS BE BE</t>
        </is>
      </c>
      <c r="H95" s="20" t="inlineStr">
        <is>
          <t>A333</t>
        </is>
      </c>
      <c r="I95" s="22" t="n">
        <v>20</v>
      </c>
      <c r="J95" s="21" t="inlineStr">
        <is>
          <t>STD</t>
        </is>
      </c>
      <c r="K95" s="20" t="inlineStr">
        <is>
          <t>I64108758</t>
        </is>
      </c>
      <c r="L95" s="22" t="n">
        <v>6.4</v>
      </c>
      <c r="M95" s="20">
        <f>IFERROR(LEFT(B95,SEARCH("_Rev",B95)-1),B95)</f>
        <v/>
      </c>
      <c r="N95" s="20">
        <f>IF(B95="","",IF(ISNUMBER(C95),IF(COUNTIFS($M$3:$M$1026,M95,$C$3:$C$1026,"&gt;"&amp;C95)=0,"CURRENT","SUPERSEDED"),"CURRENT"))</f>
        <v/>
      </c>
      <c r="O95" s="19" t="n"/>
    </row>
    <row r="96">
      <c r="A96" s="19" t="n"/>
      <c r="B96" s="20" t="inlineStr">
        <is>
          <t>4503-XH-DL-4141-4630-8003-CWR-01_Rev0</t>
        </is>
      </c>
      <c r="C96" s="21" t="n">
        <v>0</v>
      </c>
      <c r="D96" s="21" t="n">
        <v>46234</v>
      </c>
      <c r="E96" s="20" t="inlineStr">
        <is>
          <t>IFC-ISSUED FOR CONSTRUCTION</t>
        </is>
      </c>
      <c r="F96" s="21" t="n">
        <v>4141</v>
      </c>
      <c r="G96" s="20" t="inlineStr">
        <is>
          <t>PIPE B36.10/36.19 A333 6-SMLS BE BE</t>
        </is>
      </c>
      <c r="H96" s="20" t="inlineStr">
        <is>
          <t>A333</t>
        </is>
      </c>
      <c r="I96" s="22" t="n">
        <v>20</v>
      </c>
      <c r="J96" s="21" t="inlineStr">
        <is>
          <t>STD</t>
        </is>
      </c>
      <c r="K96" s="20" t="inlineStr">
        <is>
          <t>I64108758</t>
        </is>
      </c>
      <c r="L96" s="22" t="n">
        <v>9</v>
      </c>
      <c r="M96" s="20">
        <f>IFERROR(LEFT(B96,SEARCH("_Rev",B96)-1),B96)</f>
        <v/>
      </c>
      <c r="N96" s="20">
        <f>IF(B96="","",IF(ISNUMBER(C96),IF(COUNTIFS($M$3:$M$1026,M96,$C$3:$C$1026,"&gt;"&amp;C96)=0,"CURRENT","SUPERSEDED"),"CURRENT"))</f>
        <v/>
      </c>
      <c r="O96" s="19" t="n"/>
    </row>
    <row r="97">
      <c r="A97" s="19" t="n"/>
      <c r="B97" s="20" t="inlineStr">
        <is>
          <t>4503-XH-DL-4141-4630-8003-CWS-01_Rev0</t>
        </is>
      </c>
      <c r="C97" s="21" t="n">
        <v>0</v>
      </c>
      <c r="D97" s="21" t="n">
        <v>46234</v>
      </c>
      <c r="E97" s="20" t="inlineStr">
        <is>
          <t>IFC-ISSUED FOR CONSTRUCTION</t>
        </is>
      </c>
      <c r="F97" s="21" t="n">
        <v>4141</v>
      </c>
      <c r="G97" s="20" t="inlineStr">
        <is>
          <t>PIPE B36.10/36.19 A333 6-SMLS BE BE</t>
        </is>
      </c>
      <c r="H97" s="20" t="inlineStr">
        <is>
          <t>A333</t>
        </is>
      </c>
      <c r="I97" s="22" t="n">
        <v>20</v>
      </c>
      <c r="J97" s="21" t="inlineStr">
        <is>
          <t>STD</t>
        </is>
      </c>
      <c r="K97" s="20" t="inlineStr">
        <is>
          <t>I64108758</t>
        </is>
      </c>
      <c r="L97" s="22" t="n">
        <v>6.5</v>
      </c>
      <c r="M97" s="20">
        <f>IFERROR(LEFT(B97,SEARCH("_Rev",B97)-1),B97)</f>
        <v/>
      </c>
      <c r="N97" s="20">
        <f>IF(B97="","",IF(ISNUMBER(C97),IF(COUNTIFS($M$3:$M$1026,M97,$C$3:$C$1026,"&gt;"&amp;C97)=0,"CURRENT","SUPERSEDED"),"CURRENT"))</f>
        <v/>
      </c>
      <c r="O97" s="19" t="n"/>
    </row>
    <row r="98">
      <c r="A98" s="19" t="n"/>
      <c r="B98" s="20" t="inlineStr">
        <is>
          <t>4503-XH-DL-4141-4630-8004-CWR-01_Rev0</t>
        </is>
      </c>
      <c r="C98" s="21" t="n">
        <v>0</v>
      </c>
      <c r="D98" s="21" t="n">
        <v>46234</v>
      </c>
      <c r="E98" s="20" t="inlineStr">
        <is>
          <t>IFC-ISSUED FOR CONSTRUCTION</t>
        </is>
      </c>
      <c r="F98" s="21" t="n">
        <v>4141</v>
      </c>
      <c r="G98" s="20" t="inlineStr">
        <is>
          <t>PIPE B36.10/36.19 A333 6-SMLS BE BE</t>
        </is>
      </c>
      <c r="H98" s="20" t="inlineStr">
        <is>
          <t>A333</t>
        </is>
      </c>
      <c r="I98" s="22" t="n">
        <v>20</v>
      </c>
      <c r="J98" s="21" t="inlineStr">
        <is>
          <t>STD</t>
        </is>
      </c>
      <c r="K98" s="20" t="inlineStr">
        <is>
          <t>I64108758</t>
        </is>
      </c>
      <c r="L98" s="22" t="n">
        <v>9</v>
      </c>
      <c r="M98" s="20">
        <f>IFERROR(LEFT(B98,SEARCH("_Rev",B98)-1),B98)</f>
        <v/>
      </c>
      <c r="N98" s="20">
        <f>IF(B98="","",IF(ISNUMBER(C98),IF(COUNTIFS($M$3:$M$1026,M98,$C$3:$C$1026,"&gt;"&amp;C98)=0,"CURRENT","SUPERSEDED"),"CURRENT"))</f>
        <v/>
      </c>
      <c r="O98" s="19" t="n"/>
    </row>
    <row r="99">
      <c r="A99" s="19" t="n"/>
      <c r="B99" s="20" t="inlineStr">
        <is>
          <t>4503-XH-DL-4141-4630-8004-CWS-01_Rev0</t>
        </is>
      </c>
      <c r="C99" s="21" t="n">
        <v>0</v>
      </c>
      <c r="D99" s="21" t="n">
        <v>46234</v>
      </c>
      <c r="E99" s="20" t="inlineStr">
        <is>
          <t>IFC-ISSUED FOR CONSTRUCTION</t>
        </is>
      </c>
      <c r="F99" s="21" t="n">
        <v>4141</v>
      </c>
      <c r="G99" s="20" t="inlineStr">
        <is>
          <t>PIPE B36.10/36.19 A333 6-SMLS BE BE</t>
        </is>
      </c>
      <c r="H99" s="20" t="inlineStr">
        <is>
          <t>A333</t>
        </is>
      </c>
      <c r="I99" s="22" t="n">
        <v>20</v>
      </c>
      <c r="J99" s="21" t="inlineStr">
        <is>
          <t>STD</t>
        </is>
      </c>
      <c r="K99" s="20" t="inlineStr">
        <is>
          <t>I64108758</t>
        </is>
      </c>
      <c r="L99" s="22" t="n">
        <v>6.5</v>
      </c>
      <c r="M99" s="20">
        <f>IFERROR(LEFT(B99,SEARCH("_Rev",B99)-1),B99)</f>
        <v/>
      </c>
      <c r="N99" s="20">
        <f>IF(B99="","",IF(ISNUMBER(C99),IF(COUNTIFS($M$3:$M$1026,M99,$C$3:$C$1026,"&gt;"&amp;C99)=0,"CURRENT","SUPERSEDED"),"CURRENT"))</f>
        <v/>
      </c>
      <c r="O99" s="19" t="n"/>
    </row>
    <row r="100">
      <c r="A100" s="19" t="n"/>
      <c r="B100" s="20" t="inlineStr">
        <is>
          <t>4503-XH-DL-4141-4630-8005-CWR-01_Rev0</t>
        </is>
      </c>
      <c r="C100" s="21" t="n">
        <v>0</v>
      </c>
      <c r="D100" s="21" t="n">
        <v>46234</v>
      </c>
      <c r="E100" s="20" t="inlineStr">
        <is>
          <t>IFC-ISSUED FOR CONSTRUCTION</t>
        </is>
      </c>
      <c r="F100" s="21" t="n">
        <v>4141</v>
      </c>
      <c r="G100" s="20" t="inlineStr">
        <is>
          <t>PIPE B36.10/36.19 A333 6-SMLS BE BE</t>
        </is>
      </c>
      <c r="H100" s="20" t="inlineStr">
        <is>
          <t>A333</t>
        </is>
      </c>
      <c r="I100" s="22" t="n">
        <v>20</v>
      </c>
      <c r="J100" s="21" t="inlineStr">
        <is>
          <t>STD</t>
        </is>
      </c>
      <c r="K100" s="20" t="inlineStr">
        <is>
          <t>I64108758</t>
        </is>
      </c>
      <c r="L100" s="22" t="n">
        <v>9</v>
      </c>
      <c r="M100" s="20">
        <f>IFERROR(LEFT(B100,SEARCH("_Rev",B100)-1),B100)</f>
        <v/>
      </c>
      <c r="N100" s="20">
        <f>IF(B100="","",IF(ISNUMBER(C100),IF(COUNTIFS($M$3:$M$1026,M100,$C$3:$C$1026,"&gt;"&amp;C100)=0,"CURRENT","SUPERSEDED"),"CURRENT"))</f>
        <v/>
      </c>
      <c r="O100" s="19" t="n"/>
    </row>
    <row r="101">
      <c r="A101" s="19" t="n"/>
      <c r="B101" s="20" t="inlineStr">
        <is>
          <t>4503-XH-DL-4141-4630-8005-CWS-01_Rev0</t>
        </is>
      </c>
      <c r="C101" s="21" t="n">
        <v>0</v>
      </c>
      <c r="D101" s="21" t="n">
        <v>46234</v>
      </c>
      <c r="E101" s="20" t="inlineStr">
        <is>
          <t>IFC-ISSUED FOR CONSTRUCTION</t>
        </is>
      </c>
      <c r="F101" s="21" t="n">
        <v>4141</v>
      </c>
      <c r="G101" s="20" t="inlineStr">
        <is>
          <t>PIPE B36.10/36.19 A333 6-SMLS BE BE</t>
        </is>
      </c>
      <c r="H101" s="20" t="inlineStr">
        <is>
          <t>A333</t>
        </is>
      </c>
      <c r="I101" s="22" t="n">
        <v>20</v>
      </c>
      <c r="J101" s="21" t="inlineStr">
        <is>
          <t>STD</t>
        </is>
      </c>
      <c r="K101" s="20" t="inlineStr">
        <is>
          <t>I64108758</t>
        </is>
      </c>
      <c r="L101" s="22" t="n">
        <v>6.5</v>
      </c>
      <c r="M101" s="20">
        <f>IFERROR(LEFT(B101,SEARCH("_Rev",B101)-1),B101)</f>
        <v/>
      </c>
      <c r="N101" s="20">
        <f>IF(B101="","",IF(ISNUMBER(C101),IF(COUNTIFS($M$3:$M$1026,M101,$C$3:$C$1026,"&gt;"&amp;C101)=0,"CURRENT","SUPERSEDED"),"CURRENT"))</f>
        <v/>
      </c>
      <c r="O101" s="19" t="n"/>
    </row>
    <row r="102">
      <c r="A102" s="19" t="n"/>
      <c r="B102" s="20" t="inlineStr">
        <is>
          <t>4503-XH-DL-6190-5612-0001-SC-02_Rev0</t>
        </is>
      </c>
      <c r="C102" s="21" t="n">
        <v>0</v>
      </c>
      <c r="D102" s="21" t="n">
        <v>46234</v>
      </c>
      <c r="E102" s="20" t="inlineStr">
        <is>
          <t>IFC - ISSUED FOR CONSTRUCTION</t>
        </is>
      </c>
      <c r="F102" s="21" t="n">
        <v>6190</v>
      </c>
      <c r="G102" s="20" t="inlineStr">
        <is>
          <t>PIPE B36.10/36.19 A333 6-SMLS BE BE</t>
        </is>
      </c>
      <c r="H102" s="20" t="inlineStr">
        <is>
          <t>A333</t>
        </is>
      </c>
      <c r="I102" s="22" t="n">
        <v>2</v>
      </c>
      <c r="J102" s="21" t="inlineStr">
        <is>
          <t>XS</t>
        </is>
      </c>
      <c r="K102" s="20" t="inlineStr">
        <is>
          <t>I64108762</t>
        </is>
      </c>
      <c r="L102" s="22" t="n">
        <v>21.6</v>
      </c>
      <c r="M102" s="20">
        <f>IFERROR(LEFT(B102,SEARCH("_Rev",B102)-1),B102)</f>
        <v/>
      </c>
      <c r="N102" s="20">
        <f>IF(B102="","",IF(ISNUMBER(C102),IF(COUNTIFS($M$3:$M$1026,M102,$C$3:$C$1026,"&gt;"&amp;C102)=0,"CURRENT","SUPERSEDED"),"CURRENT"))</f>
        <v/>
      </c>
      <c r="O102" s="19" t="n"/>
    </row>
    <row r="103">
      <c r="A103" s="19" t="n"/>
      <c r="B103" s="20" t="inlineStr">
        <is>
          <t>4503-XH-DL-6190-5612-0001-SC-03_Rev0</t>
        </is>
      </c>
      <c r="C103" s="21" t="n">
        <v>0</v>
      </c>
      <c r="D103" s="21" t="n">
        <v>46234</v>
      </c>
      <c r="E103" s="20" t="inlineStr">
        <is>
          <t>IFC - ISSUED FOR CONSTRUCTION</t>
        </is>
      </c>
      <c r="F103" s="21" t="n">
        <v>6190</v>
      </c>
      <c r="G103" s="20" t="inlineStr">
        <is>
          <t>PIPE B36.10/36.19 A333 6-SMLS BE BE</t>
        </is>
      </c>
      <c r="H103" s="20" t="inlineStr">
        <is>
          <t>A333</t>
        </is>
      </c>
      <c r="I103" s="22" t="n">
        <v>2</v>
      </c>
      <c r="J103" s="21" t="inlineStr">
        <is>
          <t>XS</t>
        </is>
      </c>
      <c r="K103" s="20" t="inlineStr">
        <is>
          <t>I64108762</t>
        </is>
      </c>
      <c r="L103" s="22" t="n">
        <v>23.3</v>
      </c>
      <c r="M103" s="20">
        <f>IFERROR(LEFT(B103,SEARCH("_Rev",B103)-1),B103)</f>
        <v/>
      </c>
      <c r="N103" s="20">
        <f>IF(B103="","",IF(ISNUMBER(C103),IF(COUNTIFS($M$3:$M$1026,M103,$C$3:$C$1026,"&gt;"&amp;C103)=0,"CURRENT","SUPERSEDED"),"CURRENT"))</f>
        <v/>
      </c>
      <c r="O103" s="19" t="n"/>
    </row>
    <row r="104">
      <c r="A104" s="19" t="n"/>
      <c r="B104" s="20" t="inlineStr">
        <is>
          <t>4503-XH-DL-6190-5612-0001-SC-04_Rev0</t>
        </is>
      </c>
      <c r="C104" s="21" t="n">
        <v>0</v>
      </c>
      <c r="D104" s="21" t="n">
        <v>46234</v>
      </c>
      <c r="E104" s="20" t="inlineStr">
        <is>
          <t>IFC - ISSUED FOR CONSTRUCTION</t>
        </is>
      </c>
      <c r="F104" s="21" t="n">
        <v>6190</v>
      </c>
      <c r="G104" s="20" t="inlineStr">
        <is>
          <t>PIPE B36.10/36.19 A333 6-SMLS BE BE</t>
        </is>
      </c>
      <c r="H104" s="20" t="inlineStr">
        <is>
          <t>A333</t>
        </is>
      </c>
      <c r="I104" s="22" t="n">
        <v>2</v>
      </c>
      <c r="J104" s="21" t="inlineStr">
        <is>
          <t>XS</t>
        </is>
      </c>
      <c r="K104" s="20" t="inlineStr">
        <is>
          <t>I64108762</t>
        </is>
      </c>
      <c r="L104" s="22" t="n">
        <v>15</v>
      </c>
      <c r="M104" s="20">
        <f>IFERROR(LEFT(B104,SEARCH("_Rev",B104)-1),B104)</f>
        <v/>
      </c>
      <c r="N104" s="20">
        <f>IF(B104="","",IF(ISNUMBER(C104),IF(COUNTIFS($M$3:$M$1026,M104,$C$3:$C$1026,"&gt;"&amp;C104)=0,"CURRENT","SUPERSEDED"),"CURRENT"))</f>
        <v/>
      </c>
      <c r="O104" s="19" t="n"/>
    </row>
    <row r="105">
      <c r="A105" s="19" t="n"/>
      <c r="B105" s="20" t="inlineStr">
        <is>
          <t>4503-XH-DL-6190-5612-0001-SC-04_Rev0</t>
        </is>
      </c>
      <c r="C105" s="21" t="n">
        <v>0</v>
      </c>
      <c r="D105" s="21" t="n">
        <v>46234</v>
      </c>
      <c r="E105" s="20" t="inlineStr">
        <is>
          <t>IFC - ISSUED FOR CONSTRUCTION</t>
        </is>
      </c>
      <c r="F105" s="21" t="n">
        <v>6190</v>
      </c>
      <c r="G105" s="20" t="inlineStr">
        <is>
          <t>PIPE B36.10/36.19 A333 6-SMLS PE PE</t>
        </is>
      </c>
      <c r="H105" s="20" t="inlineStr">
        <is>
          <t>A333</t>
        </is>
      </c>
      <c r="I105" s="22" t="n">
        <v>1</v>
      </c>
      <c r="J105" s="21" t="inlineStr">
        <is>
          <t>XS</t>
        </is>
      </c>
      <c r="K105" s="20" t="inlineStr">
        <is>
          <t>I63649231</t>
        </is>
      </c>
      <c r="L105" s="22" t="n">
        <v>0.1</v>
      </c>
      <c r="M105" s="20">
        <f>IFERROR(LEFT(B105,SEARCH("_Rev",B105)-1),B105)</f>
        <v/>
      </c>
      <c r="N105" s="20">
        <f>IF(B105="","",IF(ISNUMBER(C105),IF(COUNTIFS($M$3:$M$1026,M105,$C$3:$C$1026,"&gt;"&amp;C105)=0,"CURRENT","SUPERSEDED"),"CURRENT"))</f>
        <v/>
      </c>
      <c r="O105" s="19" t="n"/>
    </row>
    <row r="106">
      <c r="A106" s="19" t="n"/>
      <c r="B106" s="20" t="inlineStr">
        <is>
          <t>4503-XH-DL-6190-6110-0055-BU-03_Rev0</t>
        </is>
      </c>
      <c r="C106" s="21" t="n">
        <v>0</v>
      </c>
      <c r="D106" s="21" t="n">
        <v>46230</v>
      </c>
      <c r="E106" s="20" t="inlineStr">
        <is>
          <t>IFC - ISSUED FOR CONSTRUCTION</t>
        </is>
      </c>
      <c r="F106" s="21" t="n">
        <v>6190</v>
      </c>
      <c r="G106" s="20" t="inlineStr">
        <is>
          <t>PIPE B36.10/36.19 A333 6-SMLS BE BE</t>
        </is>
      </c>
      <c r="H106" s="20" t="inlineStr">
        <is>
          <t>A333</t>
        </is>
      </c>
      <c r="I106" s="22" t="n">
        <v>3</v>
      </c>
      <c r="J106" s="21" t="inlineStr">
        <is>
          <t>STD</t>
        </is>
      </c>
      <c r="K106" s="20" t="inlineStr">
        <is>
          <t>I63649171</t>
        </is>
      </c>
      <c r="L106" s="22" t="n">
        <v>35.2</v>
      </c>
      <c r="M106" s="20">
        <f>IFERROR(LEFT(B106,SEARCH("_Rev",B106)-1),B106)</f>
        <v/>
      </c>
      <c r="N106" s="20">
        <f>IF(B106="","",IF(ISNUMBER(C106),IF(COUNTIFS($M$3:$M$1026,M106,$C$3:$C$1026,"&gt;"&amp;C106)=0,"CURRENT","SUPERSEDED"),"CURRENT"))</f>
        <v/>
      </c>
      <c r="O106" s="19" t="n"/>
    </row>
    <row r="107">
      <c r="A107" s="19" t="n"/>
      <c r="B107" s="20" t="inlineStr">
        <is>
          <t>4503-XH-DL-6190-6110-0055-BU-04_Rev0</t>
        </is>
      </c>
      <c r="C107" s="21" t="n">
        <v>0</v>
      </c>
      <c r="D107" s="21" t="n">
        <v>46230</v>
      </c>
      <c r="E107" s="20" t="inlineStr">
        <is>
          <t>IFC - ISSUED FOR CONSTRUCTION</t>
        </is>
      </c>
      <c r="F107" s="21" t="n">
        <v>6190</v>
      </c>
      <c r="G107" s="20" t="inlineStr">
        <is>
          <t>PIPE B36.10/36.19 A333 6-SMLS BE BE</t>
        </is>
      </c>
      <c r="H107" s="20" t="inlineStr">
        <is>
          <t>A333</t>
        </is>
      </c>
      <c r="I107" s="22" t="n">
        <v>3</v>
      </c>
      <c r="J107" s="21" t="inlineStr">
        <is>
          <t>STD</t>
        </is>
      </c>
      <c r="K107" s="20" t="inlineStr">
        <is>
          <t>I63649171</t>
        </is>
      </c>
      <c r="L107" s="22" t="n">
        <v>35</v>
      </c>
      <c r="M107" s="20">
        <f>IFERROR(LEFT(B107,SEARCH("_Rev",B107)-1),B107)</f>
        <v/>
      </c>
      <c r="N107" s="20">
        <f>IF(B107="","",IF(ISNUMBER(C107),IF(COUNTIFS($M$3:$M$1026,M107,$C$3:$C$1026,"&gt;"&amp;C107)=0,"CURRENT","SUPERSEDED"),"CURRENT"))</f>
        <v/>
      </c>
      <c r="O107" s="19" t="n"/>
    </row>
    <row r="108">
      <c r="A108" s="19" t="n"/>
      <c r="B108" s="20" t="inlineStr">
        <is>
          <t>4503-XH-DL-6190-6110-0055-BU-05_Rev0</t>
        </is>
      </c>
      <c r="C108" s="21" t="n">
        <v>0</v>
      </c>
      <c r="D108" s="21" t="n">
        <v>46230</v>
      </c>
      <c r="E108" s="20" t="inlineStr">
        <is>
          <t>IFC - ISSUED FOR CONSTRUCTION</t>
        </is>
      </c>
      <c r="F108" s="21" t="n">
        <v>6190</v>
      </c>
      <c r="G108" s="20" t="inlineStr">
        <is>
          <t>PIPE B36.10/36.19 A333 6-SMLS BE BE</t>
        </is>
      </c>
      <c r="H108" s="20" t="inlineStr">
        <is>
          <t>A333</t>
        </is>
      </c>
      <c r="I108" s="22" t="n">
        <v>3</v>
      </c>
      <c r="J108" s="21" t="inlineStr">
        <is>
          <t>STD</t>
        </is>
      </c>
      <c r="K108" s="20" t="inlineStr">
        <is>
          <t>I63649171</t>
        </is>
      </c>
      <c r="L108" s="22" t="n">
        <v>21.5</v>
      </c>
      <c r="M108" s="20">
        <f>IFERROR(LEFT(B108,SEARCH("_Rev",B108)-1),B108)</f>
        <v/>
      </c>
      <c r="N108" s="20">
        <f>IF(B108="","",IF(ISNUMBER(C108),IF(COUNTIFS($M$3:$M$1026,M108,$C$3:$C$1026,"&gt;"&amp;C108)=0,"CURRENT","SUPERSEDED"),"CURRENT"))</f>
        <v/>
      </c>
      <c r="O108" s="19" t="n"/>
    </row>
    <row r="109">
      <c r="A109" s="19" t="n"/>
      <c r="B109" s="20" t="inlineStr">
        <is>
          <t>4503-XH-DL-6190-6110-0055-BU-06_Rev0</t>
        </is>
      </c>
      <c r="C109" s="21" t="n">
        <v>0</v>
      </c>
      <c r="D109" s="21" t="n">
        <v>46230</v>
      </c>
      <c r="E109" s="20" t="inlineStr">
        <is>
          <t>IFC - ISSUED FOR CONSTRUCTION</t>
        </is>
      </c>
      <c r="F109" s="21" t="n">
        <v>6190</v>
      </c>
      <c r="G109" s="20" t="inlineStr">
        <is>
          <t>PIPE B36.10/36.19 A333 6-SMLS BE BE</t>
        </is>
      </c>
      <c r="H109" s="20" t="inlineStr">
        <is>
          <t>A333</t>
        </is>
      </c>
      <c r="I109" s="22" t="n">
        <v>3</v>
      </c>
      <c r="J109" s="21" t="inlineStr">
        <is>
          <t>STD</t>
        </is>
      </c>
      <c r="K109" s="20" t="inlineStr">
        <is>
          <t>I63649171</t>
        </is>
      </c>
      <c r="L109" s="22" t="n">
        <v>24.9</v>
      </c>
      <c r="M109" s="20">
        <f>IFERROR(LEFT(B109,SEARCH("_Rev",B109)-1),B109)</f>
        <v/>
      </c>
      <c r="N109" s="20">
        <f>IF(B109="","",IF(ISNUMBER(C109),IF(COUNTIFS($M$3:$M$1026,M109,$C$3:$C$1026,"&gt;"&amp;C109)=0,"CURRENT","SUPERSEDED"),"CURRENT"))</f>
        <v/>
      </c>
      <c r="O109" s="19" t="n"/>
    </row>
    <row r="110">
      <c r="A110" s="19" t="n"/>
      <c r="B110" s="20" t="inlineStr">
        <is>
          <t>4503-XH-DL-6190-6110-0055-BU-07_Rev0</t>
        </is>
      </c>
      <c r="C110" s="21" t="n">
        <v>0</v>
      </c>
      <c r="D110" s="21" t="n">
        <v>46230</v>
      </c>
      <c r="E110" s="20" t="inlineStr">
        <is>
          <t>IFC - ISSUED FOR CONSTRUCTION</t>
        </is>
      </c>
      <c r="F110" s="21" t="n">
        <v>6190</v>
      </c>
      <c r="G110" s="20" t="inlineStr">
        <is>
          <t>PIPE B36.10/36.19 A333 6-SMLS BE BE</t>
        </is>
      </c>
      <c r="H110" s="20" t="inlineStr">
        <is>
          <t>A333</t>
        </is>
      </c>
      <c r="I110" s="22" t="n">
        <v>3</v>
      </c>
      <c r="J110" s="21" t="inlineStr">
        <is>
          <t>STD</t>
        </is>
      </c>
      <c r="K110" s="20" t="inlineStr">
        <is>
          <t>I63649171</t>
        </is>
      </c>
      <c r="L110" s="22" t="n">
        <v>29.2</v>
      </c>
      <c r="M110" s="20">
        <f>IFERROR(LEFT(B110,SEARCH("_Rev",B110)-1),B110)</f>
        <v/>
      </c>
      <c r="N110" s="20">
        <f>IF(B110="","",IF(ISNUMBER(C110),IF(COUNTIFS($M$3:$M$1026,M110,$C$3:$C$1026,"&gt;"&amp;C110)=0,"CURRENT","SUPERSEDED"),"CURRENT"))</f>
        <v/>
      </c>
      <c r="O110" s="19" t="n"/>
    </row>
    <row r="111">
      <c r="A111" s="19" t="n"/>
      <c r="B111" s="20" t="inlineStr">
        <is>
          <t>4503-XH-DL-6190-6110-0055-BU-08_Rev0</t>
        </is>
      </c>
      <c r="C111" s="21" t="n">
        <v>0</v>
      </c>
      <c r="D111" s="21" t="n">
        <v>46230</v>
      </c>
      <c r="E111" s="20" t="inlineStr">
        <is>
          <t>IFC - ISSUED FOR CONSTRUCTION</t>
        </is>
      </c>
      <c r="F111" s="21" t="n">
        <v>6190</v>
      </c>
      <c r="G111" s="20" t="inlineStr">
        <is>
          <t>PIPE B36.10/36.19 A333 6-SMLS BE BE</t>
        </is>
      </c>
      <c r="H111" s="20" t="inlineStr">
        <is>
          <t>A333</t>
        </is>
      </c>
      <c r="I111" s="22" t="n">
        <v>3</v>
      </c>
      <c r="J111" s="21" t="inlineStr">
        <is>
          <t>STD</t>
        </is>
      </c>
      <c r="K111" s="20" t="inlineStr">
        <is>
          <t>I63649171</t>
        </is>
      </c>
      <c r="L111" s="22" t="n">
        <v>14.6</v>
      </c>
      <c r="M111" s="20">
        <f>IFERROR(LEFT(B111,SEARCH("_Rev",B111)-1),B111)</f>
        <v/>
      </c>
      <c r="N111" s="20">
        <f>IF(B111="","",IF(ISNUMBER(C111),IF(COUNTIFS($M$3:$M$1026,M111,$C$3:$C$1026,"&gt;"&amp;C111)=0,"CURRENT","SUPERSEDED"),"CURRENT"))</f>
        <v/>
      </c>
      <c r="O111" s="19" t="n"/>
    </row>
    <row r="112">
      <c r="A112" s="19" t="n"/>
      <c r="B112" s="20" t="inlineStr">
        <is>
          <t>4503-XH-DL-6190-6110-0055-BU-09_Rev0</t>
        </is>
      </c>
      <c r="C112" s="21" t="n">
        <v>0</v>
      </c>
      <c r="D112" s="21" t="n">
        <v>46230</v>
      </c>
      <c r="E112" s="20" t="inlineStr">
        <is>
          <t>IFC - ISSUED FOR CONSTRUCTION</t>
        </is>
      </c>
      <c r="F112" s="21" t="n">
        <v>6190</v>
      </c>
      <c r="G112" s="20" t="inlineStr">
        <is>
          <t>PIPE B36.10/36.19 A333 6-SMLS BE BE</t>
        </is>
      </c>
      <c r="H112" s="20" t="inlineStr">
        <is>
          <t>A333</t>
        </is>
      </c>
      <c r="I112" s="22" t="n">
        <v>3</v>
      </c>
      <c r="J112" s="21" t="inlineStr">
        <is>
          <t>STD</t>
        </is>
      </c>
      <c r="K112" s="20" t="inlineStr">
        <is>
          <t>I63649171</t>
        </is>
      </c>
      <c r="L112" s="22" t="n">
        <v>1.6</v>
      </c>
      <c r="M112" s="20">
        <f>IFERROR(LEFT(B112,SEARCH("_Rev",B112)-1),B112)</f>
        <v/>
      </c>
      <c r="N112" s="20">
        <f>IF(B112="","",IF(ISNUMBER(C112),IF(COUNTIFS($M$3:$M$1026,M112,$C$3:$C$1026,"&gt;"&amp;C112)=0,"CURRENT","SUPERSEDED"),"CURRENT"))</f>
        <v/>
      </c>
      <c r="O112" s="19" t="n"/>
    </row>
    <row r="113">
      <c r="A113" s="19" t="n"/>
      <c r="B113" s="20" t="inlineStr">
        <is>
          <t>4503-XH-DL-6190-6110-0089-HE-03_Rev0</t>
        </is>
      </c>
      <c r="C113" s="21" t="n">
        <v>0</v>
      </c>
      <c r="D113" s="21" t="n">
        <v>46230</v>
      </c>
      <c r="E113" s="20" t="inlineStr">
        <is>
          <t>IFC - ISSUED FOR CONSTRUCTION</t>
        </is>
      </c>
      <c r="F113" s="21" t="n">
        <v>6190</v>
      </c>
      <c r="G113" s="20" t="inlineStr">
        <is>
          <t>PIPE B36.10/36.19 A333 6-SMLS BE BE</t>
        </is>
      </c>
      <c r="H113" s="20" t="inlineStr">
        <is>
          <t>A333</t>
        </is>
      </c>
      <c r="I113" s="22" t="n">
        <v>3</v>
      </c>
      <c r="J113" s="21" t="inlineStr">
        <is>
          <t>STD</t>
        </is>
      </c>
      <c r="K113" s="20" t="inlineStr">
        <is>
          <t>I63649171</t>
        </is>
      </c>
      <c r="L113" s="22" t="n">
        <v>51.9</v>
      </c>
      <c r="M113" s="20">
        <f>IFERROR(LEFT(B113,SEARCH("_Rev",B113)-1),B113)</f>
        <v/>
      </c>
      <c r="N113" s="20">
        <f>IF(B113="","",IF(ISNUMBER(C113),IF(COUNTIFS($M$3:$M$1026,M113,$C$3:$C$1026,"&gt;"&amp;C113)=0,"CURRENT","SUPERSEDED"),"CURRENT"))</f>
        <v/>
      </c>
      <c r="O113" s="19" t="n"/>
    </row>
    <row r="114">
      <c r="A114" s="19" t="n"/>
      <c r="B114" s="20" t="inlineStr">
        <is>
          <t>4503-XH-DL-6190-6110-0089-HE-04_Rev0</t>
        </is>
      </c>
      <c r="C114" s="21" t="n">
        <v>0</v>
      </c>
      <c r="D114" s="21" t="n">
        <v>46230</v>
      </c>
      <c r="E114" s="20" t="inlineStr">
        <is>
          <t>IFC - ISSUED FOR CONSTRUCTION</t>
        </is>
      </c>
      <c r="F114" s="21" t="n">
        <v>6190</v>
      </c>
      <c r="G114" s="20" t="inlineStr">
        <is>
          <t>PIPE B36.10/36.19 A333 6-SMLS BE BE</t>
        </is>
      </c>
      <c r="H114" s="20" t="inlineStr">
        <is>
          <t>A333</t>
        </is>
      </c>
      <c r="I114" s="22" t="n">
        <v>3</v>
      </c>
      <c r="J114" s="21" t="inlineStr">
        <is>
          <t>STD</t>
        </is>
      </c>
      <c r="K114" s="20" t="inlineStr">
        <is>
          <t>I63649171</t>
        </is>
      </c>
      <c r="L114" s="22" t="n">
        <v>47</v>
      </c>
      <c r="M114" s="20">
        <f>IFERROR(LEFT(B114,SEARCH("_Rev",B114)-1),B114)</f>
        <v/>
      </c>
      <c r="N114" s="20">
        <f>IF(B114="","",IF(ISNUMBER(C114),IF(COUNTIFS($M$3:$M$1026,M114,$C$3:$C$1026,"&gt;"&amp;C114)=0,"CURRENT","SUPERSEDED"),"CURRENT"))</f>
        <v/>
      </c>
      <c r="O114" s="19" t="n"/>
    </row>
    <row r="115">
      <c r="A115" s="19" t="n"/>
      <c r="B115" s="20" t="inlineStr">
        <is>
          <t>4503-XH-DL-6190-6110-0089-HE-05_Rev0</t>
        </is>
      </c>
      <c r="C115" s="21" t="n">
        <v>0</v>
      </c>
      <c r="D115" s="21" t="n">
        <v>46230</v>
      </c>
      <c r="E115" s="20" t="inlineStr">
        <is>
          <t>IFC - ISSUED FOR CONSTRUCTION</t>
        </is>
      </c>
      <c r="F115" s="21" t="n">
        <v>6190</v>
      </c>
      <c r="G115" s="20" t="inlineStr">
        <is>
          <t>PIPE B36.10/36.19 A333 6-SMLS BE BE</t>
        </is>
      </c>
      <c r="H115" s="20" t="inlineStr">
        <is>
          <t>A333</t>
        </is>
      </c>
      <c r="I115" s="22" t="n">
        <v>3</v>
      </c>
      <c r="J115" s="21" t="inlineStr">
        <is>
          <t>STD</t>
        </is>
      </c>
      <c r="K115" s="20" t="inlineStr">
        <is>
          <t>I63649171</t>
        </is>
      </c>
      <c r="L115" s="22" t="n">
        <v>19.4</v>
      </c>
      <c r="M115" s="20">
        <f>IFERROR(LEFT(B115,SEARCH("_Rev",B115)-1),B115)</f>
        <v/>
      </c>
      <c r="N115" s="20">
        <f>IF(B115="","",IF(ISNUMBER(C115),IF(COUNTIFS($M$3:$M$1026,M115,$C$3:$C$1026,"&gt;"&amp;C115)=0,"CURRENT","SUPERSEDED"),"CURRENT"))</f>
        <v/>
      </c>
      <c r="O115" s="19" t="n"/>
    </row>
    <row r="116">
      <c r="A116" s="19" t="n"/>
      <c r="B116" s="20" t="inlineStr">
        <is>
          <t>4503-XH-DL-6190-6110-0089-HE-06_Rev0</t>
        </is>
      </c>
      <c r="C116" s="21" t="n">
        <v>0</v>
      </c>
      <c r="D116" s="21" t="n">
        <v>46230</v>
      </c>
      <c r="E116" s="20" t="inlineStr">
        <is>
          <t>IFC - ISSUED FOR CONSTRUCTION</t>
        </is>
      </c>
      <c r="F116" s="21" t="n">
        <v>6190</v>
      </c>
      <c r="G116" s="20" t="inlineStr">
        <is>
          <t>PIPE B36.10/36.19 A333 6-SMLS BE BE</t>
        </is>
      </c>
      <c r="H116" s="20" t="inlineStr">
        <is>
          <t>A333</t>
        </is>
      </c>
      <c r="I116" s="22" t="n">
        <v>3</v>
      </c>
      <c r="J116" s="21" t="inlineStr">
        <is>
          <t>STD</t>
        </is>
      </c>
      <c r="K116" s="20" t="inlineStr">
        <is>
          <t>I63649171</t>
        </is>
      </c>
      <c r="L116" s="22" t="n">
        <v>29.5</v>
      </c>
      <c r="M116" s="20">
        <f>IFERROR(LEFT(B116,SEARCH("_Rev",B116)-1),B116)</f>
        <v/>
      </c>
      <c r="N116" s="20">
        <f>IF(B116="","",IF(ISNUMBER(C116),IF(COUNTIFS($M$3:$M$1026,M116,$C$3:$C$1026,"&gt;"&amp;C116)=0,"CURRENT","SUPERSEDED"),"CURRENT"))</f>
        <v/>
      </c>
      <c r="O116" s="19" t="n"/>
    </row>
    <row r="117">
      <c r="A117" s="19" t="n"/>
      <c r="B117" s="20" t="inlineStr">
        <is>
          <t>4503-XH-DL-6190-6110-0089-HE-07_Rev0</t>
        </is>
      </c>
      <c r="C117" s="21" t="n">
        <v>0</v>
      </c>
      <c r="D117" s="21" t="n">
        <v>46230</v>
      </c>
      <c r="E117" s="20" t="inlineStr">
        <is>
          <t>IFC - ISSUED FOR CONSTRUCTION</t>
        </is>
      </c>
      <c r="F117" s="21" t="n">
        <v>6190</v>
      </c>
      <c r="G117" s="20" t="inlineStr">
        <is>
          <t>PIPE B36.10/36.19 A333 6-SMLS BE BE</t>
        </is>
      </c>
      <c r="H117" s="20" t="inlineStr">
        <is>
          <t>A333</t>
        </is>
      </c>
      <c r="I117" s="22" t="n">
        <v>3</v>
      </c>
      <c r="J117" s="21" t="inlineStr">
        <is>
          <t>STD</t>
        </is>
      </c>
      <c r="K117" s="20" t="inlineStr">
        <is>
          <t>I63649171</t>
        </is>
      </c>
      <c r="L117" s="22" t="n">
        <v>15.3</v>
      </c>
      <c r="M117" s="20">
        <f>IFERROR(LEFT(B117,SEARCH("_Rev",B117)-1),B117)</f>
        <v/>
      </c>
      <c r="N117" s="20">
        <f>IF(B117="","",IF(ISNUMBER(C117),IF(COUNTIFS($M$3:$M$1026,M117,$C$3:$C$1026,"&gt;"&amp;C117)=0,"CURRENT","SUPERSEDED"),"CURRENT"))</f>
        <v/>
      </c>
      <c r="O117" s="19" t="n"/>
    </row>
    <row r="118">
      <c r="A118" s="19" t="n"/>
      <c r="B118" s="20" t="inlineStr">
        <is>
          <t>4503-XH-DL-6190-6110-0089-HE-08_Rev0</t>
        </is>
      </c>
      <c r="C118" s="21" t="n">
        <v>0</v>
      </c>
      <c r="D118" s="21" t="n">
        <v>46230</v>
      </c>
      <c r="E118" s="20" t="inlineStr">
        <is>
          <t>IFC - ISSUED FOR CONSTRUCTION</t>
        </is>
      </c>
      <c r="F118" s="21" t="n">
        <v>6190</v>
      </c>
      <c r="G118" s="20" t="inlineStr">
        <is>
          <t>PIPE B36.10/36.19 A333 6-SMLS BE BE</t>
        </is>
      </c>
      <c r="H118" s="20" t="inlineStr">
        <is>
          <t>A333</t>
        </is>
      </c>
      <c r="I118" s="22" t="n">
        <v>3</v>
      </c>
      <c r="J118" s="21" t="inlineStr">
        <is>
          <t>STD</t>
        </is>
      </c>
      <c r="K118" s="20" t="inlineStr">
        <is>
          <t>I63649171</t>
        </is>
      </c>
      <c r="L118" s="22" t="n">
        <v>1.6</v>
      </c>
      <c r="M118" s="20">
        <f>IFERROR(LEFT(B118,SEARCH("_Rev",B118)-1),B118)</f>
        <v/>
      </c>
      <c r="N118" s="20">
        <f>IF(B118="","",IF(ISNUMBER(C118),IF(COUNTIFS($M$3:$M$1026,M118,$C$3:$C$1026,"&gt;"&amp;C118)=0,"CURRENT","SUPERSEDED"),"CURRENT"))</f>
        <v/>
      </c>
      <c r="O118" s="19" t="n"/>
    </row>
    <row r="119">
      <c r="A119" s="19" t="n"/>
      <c r="B119" s="20" t="inlineStr">
        <is>
          <t>4503-XH-DL-6190-6114-0036-IPE-02_Rev0</t>
        </is>
      </c>
      <c r="C119" s="21" t="n">
        <v>0</v>
      </c>
      <c r="D119" s="21" t="n">
        <v>46234</v>
      </c>
      <c r="E119" s="20" t="inlineStr">
        <is>
          <t>IFC - ISSUED FOR CONSTRUCTION</t>
        </is>
      </c>
      <c r="F119" s="21" t="n">
        <v>6190</v>
      </c>
      <c r="G119" s="20" t="inlineStr">
        <is>
          <t>PIPE B36.10/36.19 A333 6-SMLS BE BE</t>
        </is>
      </c>
      <c r="H119" s="20" t="inlineStr">
        <is>
          <t>A333</t>
        </is>
      </c>
      <c r="I119" s="22" t="n">
        <v>2</v>
      </c>
      <c r="J119" s="21" t="inlineStr">
        <is>
          <t>XS</t>
        </is>
      </c>
      <c r="K119" s="20" t="inlineStr">
        <is>
          <t>I64108762</t>
        </is>
      </c>
      <c r="L119" s="22" t="n">
        <v>38.8</v>
      </c>
      <c r="M119" s="20">
        <f>IFERROR(LEFT(B119,SEARCH("_Rev",B119)-1),B119)</f>
        <v/>
      </c>
      <c r="N119" s="20">
        <f>IF(B119="","",IF(ISNUMBER(C119),IF(COUNTIFS($M$3:$M$1026,M119,$C$3:$C$1026,"&gt;"&amp;C119)=0,"CURRENT","SUPERSEDED"),"CURRENT"))</f>
        <v/>
      </c>
      <c r="O119" s="19" t="n"/>
    </row>
    <row r="120">
      <c r="A120" s="19" t="n"/>
      <c r="B120" s="20" t="inlineStr">
        <is>
          <t>4503-XH-DL-6190-6114-0036-IPE-03_Rev0</t>
        </is>
      </c>
      <c r="C120" s="21" t="n">
        <v>0</v>
      </c>
      <c r="D120" s="21" t="n">
        <v>46234</v>
      </c>
      <c r="E120" s="20" t="inlineStr">
        <is>
          <t>IFC - ISSUED FOR CONSTRUCTION</t>
        </is>
      </c>
      <c r="F120" s="21" t="n">
        <v>6190</v>
      </c>
      <c r="G120" s="20" t="inlineStr">
        <is>
          <t>PIPE B36.10/36.19 A333 6-SMLS BE BE</t>
        </is>
      </c>
      <c r="H120" s="20" t="inlineStr">
        <is>
          <t>A333</t>
        </is>
      </c>
      <c r="I120" s="22" t="n">
        <v>2</v>
      </c>
      <c r="J120" s="21" t="inlineStr">
        <is>
          <t>XS</t>
        </is>
      </c>
      <c r="K120" s="20" t="inlineStr">
        <is>
          <t>I64108762</t>
        </is>
      </c>
      <c r="L120" s="22" t="n">
        <v>17.9</v>
      </c>
      <c r="M120" s="20">
        <f>IFERROR(LEFT(B120,SEARCH("_Rev",B120)-1),B120)</f>
        <v/>
      </c>
      <c r="N120" s="20">
        <f>IF(B120="","",IF(ISNUMBER(C120),IF(COUNTIFS($M$3:$M$1026,M120,$C$3:$C$1026,"&gt;"&amp;C120)=0,"CURRENT","SUPERSEDED"),"CURRENT"))</f>
        <v/>
      </c>
      <c r="O120" s="19" t="n"/>
    </row>
    <row r="121">
      <c r="A121" s="19" t="n"/>
      <c r="B121" s="20" t="inlineStr">
        <is>
          <t>4503-XH-DL-6190-6114-0036-IPE-04_Rev0</t>
        </is>
      </c>
      <c r="C121" s="21" t="n">
        <v>0</v>
      </c>
      <c r="D121" s="21" t="n">
        <v>46234</v>
      </c>
      <c r="E121" s="20" t="inlineStr">
        <is>
          <t>IFC - ISSUED FOR CONSTRUCTION</t>
        </is>
      </c>
      <c r="F121" s="21" t="n">
        <v>6190</v>
      </c>
      <c r="G121" s="20" t="inlineStr">
        <is>
          <t>PIPE B36.10/36.19 A333 6-SMLS BE BE</t>
        </is>
      </c>
      <c r="H121" s="20" t="inlineStr">
        <is>
          <t>A333</t>
        </is>
      </c>
      <c r="I121" s="22" t="n">
        <v>2</v>
      </c>
      <c r="J121" s="21" t="inlineStr">
        <is>
          <t>XS</t>
        </is>
      </c>
      <c r="K121" s="20" t="inlineStr">
        <is>
          <t>I64108762</t>
        </is>
      </c>
      <c r="L121" s="22" t="n">
        <v>42.2</v>
      </c>
      <c r="M121" s="20">
        <f>IFERROR(LEFT(B121,SEARCH("_Rev",B121)-1),B121)</f>
        <v/>
      </c>
      <c r="N121" s="20">
        <f>IF(B121="","",IF(ISNUMBER(C121),IF(COUNTIFS($M$3:$M$1026,M121,$C$3:$C$1026,"&gt;"&amp;C121)=0,"CURRENT","SUPERSEDED"),"CURRENT"))</f>
        <v/>
      </c>
      <c r="O121" s="19" t="n"/>
    </row>
    <row r="122">
      <c r="A122" s="19" t="n"/>
      <c r="B122" s="20" t="inlineStr">
        <is>
          <t>4503-XH-DL-6190-6114-0036-IPE-06_Rev0</t>
        </is>
      </c>
      <c r="C122" s="21" t="n">
        <v>0</v>
      </c>
      <c r="D122" s="21" t="n">
        <v>46234</v>
      </c>
      <c r="E122" s="20" t="inlineStr">
        <is>
          <t>IFC - ISSUED FOR CONSTRUCTION</t>
        </is>
      </c>
      <c r="F122" s="21" t="n">
        <v>6190</v>
      </c>
      <c r="G122" s="20" t="inlineStr">
        <is>
          <t>PIPE B36.10/36.19 A333 6-SMLS BE BE</t>
        </is>
      </c>
      <c r="H122" s="20" t="inlineStr">
        <is>
          <t>A333</t>
        </is>
      </c>
      <c r="I122" s="22" t="n">
        <v>2</v>
      </c>
      <c r="J122" s="21" t="inlineStr">
        <is>
          <t>XS</t>
        </is>
      </c>
      <c r="K122" s="20" t="inlineStr">
        <is>
          <t>I64108762</t>
        </is>
      </c>
      <c r="L122" s="22" t="n">
        <v>31.8</v>
      </c>
      <c r="M122" s="20">
        <f>IFERROR(LEFT(B122,SEARCH("_Rev",B122)-1),B122)</f>
        <v/>
      </c>
      <c r="N122" s="20">
        <f>IF(B122="","",IF(ISNUMBER(C122),IF(COUNTIFS($M$3:$M$1026,M122,$C$3:$C$1026,"&gt;"&amp;C122)=0,"CURRENT","SUPERSEDED"),"CURRENT"))</f>
        <v/>
      </c>
      <c r="O122" s="19" t="n"/>
    </row>
    <row r="123">
      <c r="A123" s="19" t="n"/>
      <c r="B123" s="20" t="inlineStr">
        <is>
          <t>4503-XH-DL-6190-6114-0036-IPE-07_Rev0</t>
        </is>
      </c>
      <c r="C123" s="21" t="n">
        <v>0</v>
      </c>
      <c r="D123" s="21" t="n">
        <v>46234</v>
      </c>
      <c r="E123" s="20" t="inlineStr">
        <is>
          <t>IFC - ISSUED FOR CONSTRUCTION</t>
        </is>
      </c>
      <c r="F123" s="21" t="n">
        <v>6190</v>
      </c>
      <c r="G123" s="20" t="inlineStr">
        <is>
          <t>PIPE B36.10/36.19 A333 6-SMLS BE BE</t>
        </is>
      </c>
      <c r="H123" s="20" t="inlineStr">
        <is>
          <t>A333</t>
        </is>
      </c>
      <c r="I123" s="22" t="n">
        <v>2</v>
      </c>
      <c r="J123" s="21" t="inlineStr">
        <is>
          <t>XS</t>
        </is>
      </c>
      <c r="K123" s="20" t="inlineStr">
        <is>
          <t>I64108762</t>
        </is>
      </c>
      <c r="L123" s="22" t="n">
        <v>16.1</v>
      </c>
      <c r="M123" s="20">
        <f>IFERROR(LEFT(B123,SEARCH("_Rev",B123)-1),B123)</f>
        <v/>
      </c>
      <c r="N123" s="20">
        <f>IF(B123="","",IF(ISNUMBER(C123),IF(COUNTIFS($M$3:$M$1026,M123,$C$3:$C$1026,"&gt;"&amp;C123)=0,"CURRENT","SUPERSEDED"),"CURRENT"))</f>
        <v/>
      </c>
      <c r="O123" s="19" t="n"/>
    </row>
    <row r="124">
      <c r="A124" s="19" t="n"/>
      <c r="B124" s="20" t="inlineStr">
        <is>
          <t>4503-XH-DL-6190-6114-0036-IPE-08_Rev0</t>
        </is>
      </c>
      <c r="C124" s="21" t="n">
        <v>0</v>
      </c>
      <c r="D124" s="21" t="n">
        <v>46234</v>
      </c>
      <c r="E124" s="20" t="inlineStr">
        <is>
          <t>IFC - ISSUED FOR CONSTRUCTION</t>
        </is>
      </c>
      <c r="F124" s="21" t="n">
        <v>6190</v>
      </c>
      <c r="G124" s="20" t="inlineStr">
        <is>
          <t>PIPE B36.10/36.19 A333 6-SMLS BE BE</t>
        </is>
      </c>
      <c r="H124" s="20" t="inlineStr">
        <is>
          <t>A333</t>
        </is>
      </c>
      <c r="I124" s="22" t="n">
        <v>2</v>
      </c>
      <c r="J124" s="21" t="inlineStr">
        <is>
          <t>XS</t>
        </is>
      </c>
      <c r="K124" s="20" t="inlineStr">
        <is>
          <t>I64108762</t>
        </is>
      </c>
      <c r="L124" s="22" t="n">
        <v>1.3</v>
      </c>
      <c r="M124" s="20">
        <f>IFERROR(LEFT(B124,SEARCH("_Rev",B124)-1),B124)</f>
        <v/>
      </c>
      <c r="N124" s="20">
        <f>IF(B124="","",IF(ISNUMBER(C124),IF(COUNTIFS($M$3:$M$1026,M124,$C$3:$C$1026,"&gt;"&amp;C124)=0,"CURRENT","SUPERSEDED"),"CURRENT"))</f>
        <v/>
      </c>
      <c r="O124" s="19" t="n"/>
    </row>
    <row r="125">
      <c r="A125" s="19" t="n"/>
      <c r="B125" s="20" t="inlineStr">
        <is>
          <t>4503-XH-DL-6190-6114-0036-IPE-09_Rev0</t>
        </is>
      </c>
      <c r="C125" s="21" t="n">
        <v>0</v>
      </c>
      <c r="D125" s="21" t="n">
        <v>46234</v>
      </c>
      <c r="E125" s="20" t="inlineStr">
        <is>
          <t>IFC - ISSUED FOR CONSTRUCTION</t>
        </is>
      </c>
      <c r="F125" s="21" t="n">
        <v>6190</v>
      </c>
      <c r="G125" s="20" t="inlineStr">
        <is>
          <t>PIPE B36.10/36.19 A333 6-SMLS BE BE</t>
        </is>
      </c>
      <c r="H125" s="20" t="inlineStr">
        <is>
          <t>A333</t>
        </is>
      </c>
      <c r="I125" s="22" t="n">
        <v>2</v>
      </c>
      <c r="J125" s="21" t="inlineStr">
        <is>
          <t>XS</t>
        </is>
      </c>
      <c r="K125" s="20" t="inlineStr">
        <is>
          <t>I64108762</t>
        </is>
      </c>
      <c r="L125" s="22" t="n">
        <v>18.7</v>
      </c>
      <c r="M125" s="20">
        <f>IFERROR(LEFT(B125,SEARCH("_Rev",B125)-1),B125)</f>
        <v/>
      </c>
      <c r="N125" s="20">
        <f>IF(B125="","",IF(ISNUMBER(C125),IF(COUNTIFS($M$3:$M$1026,M125,$C$3:$C$1026,"&gt;"&amp;C125)=0,"CURRENT","SUPERSEDED"),"CURRENT"))</f>
        <v/>
      </c>
      <c r="O125" s="19" t="n"/>
    </row>
    <row r="126">
      <c r="A126" s="19" t="n"/>
      <c r="B126" s="20" t="inlineStr">
        <is>
          <t>4503-XH-DL-6190-6114-0039-IPE-02_Rev0</t>
        </is>
      </c>
      <c r="C126" s="21" t="n">
        <v>0</v>
      </c>
      <c r="D126" s="21" t="n">
        <v>46234</v>
      </c>
      <c r="E126" s="20" t="inlineStr">
        <is>
          <t>IFC - ISSUED FOR CONSTRUCTION</t>
        </is>
      </c>
      <c r="F126" s="21" t="n">
        <v>6190</v>
      </c>
      <c r="G126" s="20" t="inlineStr">
        <is>
          <t>PIPE B36.10/36.19 A333 6-SMLS BE BE</t>
        </is>
      </c>
      <c r="H126" s="20" t="inlineStr">
        <is>
          <t>A333</t>
        </is>
      </c>
      <c r="I126" s="22" t="n">
        <v>2</v>
      </c>
      <c r="J126" s="21" t="inlineStr">
        <is>
          <t>XS</t>
        </is>
      </c>
      <c r="K126" s="20" t="inlineStr">
        <is>
          <t>I64108762</t>
        </is>
      </c>
      <c r="L126" s="22" t="n">
        <v>31.8</v>
      </c>
      <c r="M126" s="20">
        <f>IFERROR(LEFT(B126,SEARCH("_Rev",B126)-1),B126)</f>
        <v/>
      </c>
      <c r="N126" s="20">
        <f>IF(B126="","",IF(ISNUMBER(C126),IF(COUNTIFS($M$3:$M$1026,M126,$C$3:$C$1026,"&gt;"&amp;C126)=0,"CURRENT","SUPERSEDED"),"CURRENT"))</f>
        <v/>
      </c>
      <c r="O126" s="19" t="n"/>
    </row>
    <row r="127">
      <c r="A127" s="19" t="n"/>
      <c r="B127" s="20" t="inlineStr">
        <is>
          <t>4503-XH-DL-6190-6114-0039-IPE-03_Rev0</t>
        </is>
      </c>
      <c r="C127" s="21" t="n">
        <v>0</v>
      </c>
      <c r="D127" s="21" t="n">
        <v>46234</v>
      </c>
      <c r="E127" s="20" t="inlineStr">
        <is>
          <t>IFC - ISSUED FOR CONSTRUCTION</t>
        </is>
      </c>
      <c r="F127" s="21" t="n">
        <v>6190</v>
      </c>
      <c r="G127" s="20" t="inlineStr">
        <is>
          <t>PIPE B36.10/36.19 A333 6-SMLS BE BE</t>
        </is>
      </c>
      <c r="H127" s="20" t="inlineStr">
        <is>
          <t>A333</t>
        </is>
      </c>
      <c r="I127" s="22" t="n">
        <v>2</v>
      </c>
      <c r="J127" s="21" t="inlineStr">
        <is>
          <t>XS</t>
        </is>
      </c>
      <c r="K127" s="20" t="inlineStr">
        <is>
          <t>I64108762</t>
        </is>
      </c>
      <c r="L127" s="22" t="n">
        <v>24.9</v>
      </c>
      <c r="M127" s="20">
        <f>IFERROR(LEFT(B127,SEARCH("_Rev",B127)-1),B127)</f>
        <v/>
      </c>
      <c r="N127" s="20">
        <f>IF(B127="","",IF(ISNUMBER(C127),IF(COUNTIFS($M$3:$M$1026,M127,$C$3:$C$1026,"&gt;"&amp;C127)=0,"CURRENT","SUPERSEDED"),"CURRENT"))</f>
        <v/>
      </c>
      <c r="O127" s="19" t="n"/>
    </row>
    <row r="128">
      <c r="A128" s="19" t="n"/>
      <c r="B128" s="20" t="inlineStr">
        <is>
          <t>4503-XH-DL-6190-6114-0039-IPE-04_Rev0</t>
        </is>
      </c>
      <c r="C128" s="21" t="n">
        <v>0</v>
      </c>
      <c r="D128" s="21" t="n">
        <v>46234</v>
      </c>
      <c r="E128" s="20" t="inlineStr">
        <is>
          <t>IFC - ISSUED FOR CONSTRUCTION</t>
        </is>
      </c>
      <c r="F128" s="21" t="n">
        <v>6190</v>
      </c>
      <c r="G128" s="20" t="inlineStr">
        <is>
          <t>PIPE B36.10/36.19 A333 6-SMLS BE BE</t>
        </is>
      </c>
      <c r="H128" s="20" t="inlineStr">
        <is>
          <t>A333</t>
        </is>
      </c>
      <c r="I128" s="22" t="n">
        <v>2</v>
      </c>
      <c r="J128" s="21" t="inlineStr">
        <is>
          <t>XS</t>
        </is>
      </c>
      <c r="K128" s="20" t="inlineStr">
        <is>
          <t>I64108762</t>
        </is>
      </c>
      <c r="L128" s="22" t="n">
        <v>38.9</v>
      </c>
      <c r="M128" s="20">
        <f>IFERROR(LEFT(B128,SEARCH("_Rev",B128)-1),B128)</f>
        <v/>
      </c>
      <c r="N128" s="20">
        <f>IF(B128="","",IF(ISNUMBER(C128),IF(COUNTIFS($M$3:$M$1026,M128,$C$3:$C$1026,"&gt;"&amp;C128)=0,"CURRENT","SUPERSEDED"),"CURRENT"))</f>
        <v/>
      </c>
      <c r="O128" s="19" t="n"/>
    </row>
    <row r="129">
      <c r="A129" s="19" t="n"/>
      <c r="B129" s="20" t="inlineStr">
        <is>
          <t>4503-XH-DL-6190-6114-0039-IPE-05_Rev0</t>
        </is>
      </c>
      <c r="C129" s="21" t="n">
        <v>0</v>
      </c>
      <c r="D129" s="21" t="n">
        <v>46234</v>
      </c>
      <c r="E129" s="20" t="inlineStr">
        <is>
          <t>IFC - ISSUED FOR CONSTRUCTION</t>
        </is>
      </c>
      <c r="F129" s="21" t="n">
        <v>6190</v>
      </c>
      <c r="G129" s="20" t="inlineStr">
        <is>
          <t>PIPE B36.10/36.19 A333 6-SMLS BE BE</t>
        </is>
      </c>
      <c r="H129" s="20" t="inlineStr">
        <is>
          <t>A333</t>
        </is>
      </c>
      <c r="I129" s="22" t="n">
        <v>2</v>
      </c>
      <c r="J129" s="21" t="inlineStr">
        <is>
          <t>XS</t>
        </is>
      </c>
      <c r="K129" s="20" t="inlineStr">
        <is>
          <t>I64108762</t>
        </is>
      </c>
      <c r="L129" s="22" t="n">
        <v>35.3</v>
      </c>
      <c r="M129" s="20">
        <f>IFERROR(LEFT(B129,SEARCH("_Rev",B129)-1),B129)</f>
        <v/>
      </c>
      <c r="N129" s="20">
        <f>IF(B129="","",IF(ISNUMBER(C129),IF(COUNTIFS($M$3:$M$1026,M129,$C$3:$C$1026,"&gt;"&amp;C129)=0,"CURRENT","SUPERSEDED"),"CURRENT"))</f>
        <v/>
      </c>
      <c r="O129" s="19" t="n"/>
    </row>
    <row r="130">
      <c r="A130" s="19" t="n"/>
      <c r="B130" s="20" t="inlineStr">
        <is>
          <t>4503-XH-DL-6190-6114-0039-IPE-06_Rev0</t>
        </is>
      </c>
      <c r="C130" s="21" t="n">
        <v>0</v>
      </c>
      <c r="D130" s="21" t="n">
        <v>46234</v>
      </c>
      <c r="E130" s="20" t="inlineStr">
        <is>
          <t>IFC - ISSUED FOR CONSTRUCTION</t>
        </is>
      </c>
      <c r="F130" s="21" t="n">
        <v>6190</v>
      </c>
      <c r="G130" s="20" t="inlineStr">
        <is>
          <t>PIPE B36.10/36.19 A333 6-SMLS BE BE</t>
        </is>
      </c>
      <c r="H130" s="20" t="inlineStr">
        <is>
          <t>A333</t>
        </is>
      </c>
      <c r="I130" s="22" t="n">
        <v>2</v>
      </c>
      <c r="J130" s="21" t="inlineStr">
        <is>
          <t>XS</t>
        </is>
      </c>
      <c r="K130" s="20" t="inlineStr">
        <is>
          <t>I64108762</t>
        </is>
      </c>
      <c r="L130" s="22" t="n">
        <v>13.7</v>
      </c>
      <c r="M130" s="20">
        <f>IFERROR(LEFT(B130,SEARCH("_Rev",B130)-1),B130)</f>
        <v/>
      </c>
      <c r="N130" s="20">
        <f>IF(B130="","",IF(ISNUMBER(C130),IF(COUNTIFS($M$3:$M$1026,M130,$C$3:$C$1026,"&gt;"&amp;C130)=0,"CURRENT","SUPERSEDED"),"CURRENT"))</f>
        <v/>
      </c>
      <c r="O130" s="19" t="n"/>
    </row>
    <row r="131">
      <c r="A131" s="19" t="n"/>
      <c r="B131" s="20" t="inlineStr">
        <is>
          <t>4503-XH-DL-6190-6114-0039-IPE-07_Rev0</t>
        </is>
      </c>
      <c r="C131" s="21" t="n">
        <v>0</v>
      </c>
      <c r="D131" s="21" t="n">
        <v>46234</v>
      </c>
      <c r="E131" s="20" t="inlineStr">
        <is>
          <t>IFC - ISSUED FOR CONSTRUCTION</t>
        </is>
      </c>
      <c r="F131" s="21" t="n">
        <v>6190</v>
      </c>
      <c r="G131" s="20" t="inlineStr">
        <is>
          <t>PIPE B36.10/36.19 A333 6-SMLS BE BE</t>
        </is>
      </c>
      <c r="H131" s="20" t="inlineStr">
        <is>
          <t>A333</t>
        </is>
      </c>
      <c r="I131" s="22" t="n">
        <v>2</v>
      </c>
      <c r="J131" s="21" t="inlineStr">
        <is>
          <t>XS</t>
        </is>
      </c>
      <c r="K131" s="20" t="inlineStr">
        <is>
          <t>I64108762</t>
        </is>
      </c>
      <c r="L131" s="22" t="n">
        <v>1.9</v>
      </c>
      <c r="M131" s="20">
        <f>IFERROR(LEFT(B131,SEARCH("_Rev",B131)-1),B131)</f>
        <v/>
      </c>
      <c r="N131" s="20">
        <f>IF(B131="","",IF(ISNUMBER(C131),IF(COUNTIFS($M$3:$M$1026,M131,$C$3:$C$1026,"&gt;"&amp;C131)=0,"CURRENT","SUPERSEDED"),"CURRENT"))</f>
        <v/>
      </c>
      <c r="O131" s="19" t="n"/>
    </row>
    <row r="132">
      <c r="A132" s="19" t="n"/>
      <c r="B132" s="20" t="inlineStr">
        <is>
          <t>4503-XH-DL-6190-6114-0039-IPE-08_Rev0</t>
        </is>
      </c>
      <c r="C132" s="21" t="n">
        <v>0</v>
      </c>
      <c r="D132" s="21" t="n">
        <v>46234</v>
      </c>
      <c r="E132" s="20" t="inlineStr">
        <is>
          <t>IFC - ISSUED FOR CONSTRUCTION</t>
        </is>
      </c>
      <c r="F132" s="21" t="n">
        <v>6190</v>
      </c>
      <c r="G132" s="20" t="inlineStr">
        <is>
          <t>PIPE B36.10/36.19 A333 6-SMLS BE BE</t>
        </is>
      </c>
      <c r="H132" s="20" t="inlineStr">
        <is>
          <t>A333</t>
        </is>
      </c>
      <c r="I132" s="22" t="n">
        <v>2</v>
      </c>
      <c r="J132" s="21" t="inlineStr">
        <is>
          <t>XS</t>
        </is>
      </c>
      <c r="K132" s="20" t="inlineStr">
        <is>
          <t>I64108762</t>
        </is>
      </c>
      <c r="L132" s="22" t="n">
        <v>18.4</v>
      </c>
      <c r="M132" s="20">
        <f>IFERROR(LEFT(B132,SEARCH("_Rev",B132)-1),B132)</f>
        <v/>
      </c>
      <c r="N132" s="20">
        <f>IF(B132="","",IF(ISNUMBER(C132),IF(COUNTIFS($M$3:$M$1026,M132,$C$3:$C$1026,"&gt;"&amp;C132)=0,"CURRENT","SUPERSEDED"),"CURRENT"))</f>
        <v/>
      </c>
      <c r="O132" s="19" t="n"/>
    </row>
    <row r="133">
      <c r="A133" s="19" t="n"/>
      <c r="B133" s="20" t="inlineStr">
        <is>
          <t>4503-XH-DL-6190-6121-0039-ETH-02_Rev0</t>
        </is>
      </c>
      <c r="C133" s="21" t="n">
        <v>0</v>
      </c>
      <c r="D133" s="21" t="n">
        <v>46234</v>
      </c>
      <c r="E133" s="20" t="inlineStr">
        <is>
          <t>IFC - ISSUED FOR CONSTRUCTION</t>
        </is>
      </c>
      <c r="F133" s="21" t="n">
        <v>6190</v>
      </c>
      <c r="G133" s="20" t="inlineStr">
        <is>
          <t>PIPE B36.10/36.19 A333 6-SMLS BE BE</t>
        </is>
      </c>
      <c r="H133" s="20" t="inlineStr">
        <is>
          <t>A333</t>
        </is>
      </c>
      <c r="I133" s="22" t="n">
        <v>12</v>
      </c>
      <c r="J133" s="21" t="inlineStr">
        <is>
          <t>STD</t>
        </is>
      </c>
      <c r="K133" s="20" t="inlineStr">
        <is>
          <t>I64955933</t>
        </is>
      </c>
      <c r="L133" s="22" t="n">
        <v>21.5</v>
      </c>
      <c r="M133" s="20">
        <f>IFERROR(LEFT(B133,SEARCH("_Rev",B133)-1),B133)</f>
        <v/>
      </c>
      <c r="N133" s="20">
        <f>IF(B133="","",IF(ISNUMBER(C133),IF(COUNTIFS($M$3:$M$1026,M133,$C$3:$C$1026,"&gt;"&amp;C133)=0,"CURRENT","SUPERSEDED"),"CURRENT"))</f>
        <v/>
      </c>
      <c r="O133" s="19" t="n"/>
    </row>
    <row r="134">
      <c r="A134" s="19" t="n"/>
      <c r="B134" s="20" t="inlineStr">
        <is>
          <t>4503-XH-DL-6190-6121-0039-ETH-03_Rev0</t>
        </is>
      </c>
      <c r="C134" s="21" t="n">
        <v>0</v>
      </c>
      <c r="D134" s="21" t="n">
        <v>46234</v>
      </c>
      <c r="E134" s="20" t="inlineStr">
        <is>
          <t>IFC - ISSUED FOR CONSTRUCTION</t>
        </is>
      </c>
      <c r="F134" s="21" t="n">
        <v>6190</v>
      </c>
      <c r="G134" s="20" t="inlineStr">
        <is>
          <t>PIPE B36.10/36.19 A333 6-SMLS BE BE</t>
        </is>
      </c>
      <c r="H134" s="20" t="inlineStr">
        <is>
          <t>A333</t>
        </is>
      </c>
      <c r="I134" s="22" t="n">
        <v>12</v>
      </c>
      <c r="J134" s="21" t="inlineStr">
        <is>
          <t>STD</t>
        </is>
      </c>
      <c r="K134" s="20" t="inlineStr">
        <is>
          <t>I64955933</t>
        </is>
      </c>
      <c r="L134" s="22" t="n">
        <v>41.1</v>
      </c>
      <c r="M134" s="20">
        <f>IFERROR(LEFT(B134,SEARCH("_Rev",B134)-1),B134)</f>
        <v/>
      </c>
      <c r="N134" s="20">
        <f>IF(B134="","",IF(ISNUMBER(C134),IF(COUNTIFS($M$3:$M$1026,M134,$C$3:$C$1026,"&gt;"&amp;C134)=0,"CURRENT","SUPERSEDED"),"CURRENT"))</f>
        <v/>
      </c>
      <c r="O134" s="19" t="n"/>
    </row>
    <row r="135">
      <c r="A135" s="19" t="n"/>
      <c r="B135" s="20" t="inlineStr">
        <is>
          <t>4503-XH-DL-6190-6121-0085-ETH-02_Rev0</t>
        </is>
      </c>
      <c r="C135" s="21" t="n">
        <v>0</v>
      </c>
      <c r="D135" s="21" t="n">
        <v>46230</v>
      </c>
      <c r="E135" s="20" t="inlineStr">
        <is>
          <t>IFC - ISSUED FOR CONSTRUCTION</t>
        </is>
      </c>
      <c r="F135" s="21" t="n">
        <v>6190</v>
      </c>
      <c r="G135" s="20" t="inlineStr">
        <is>
          <t>PIPE B36.10/36.19 A333 6-SMLS BE BE</t>
        </is>
      </c>
      <c r="H135" s="20" t="inlineStr">
        <is>
          <t>A333</t>
        </is>
      </c>
      <c r="I135" s="22" t="n">
        <v>4</v>
      </c>
      <c r="J135" s="21" t="inlineStr">
        <is>
          <t>STD</t>
        </is>
      </c>
      <c r="K135" s="20" t="inlineStr">
        <is>
          <t>I63649186</t>
        </is>
      </c>
      <c r="L135" s="22" t="n">
        <v>25.5</v>
      </c>
      <c r="M135" s="20">
        <f>IFERROR(LEFT(B135,SEARCH("_Rev",B135)-1),B135)</f>
        <v/>
      </c>
      <c r="N135" s="20">
        <f>IF(B135="","",IF(ISNUMBER(C135),IF(COUNTIFS($M$3:$M$1026,M135,$C$3:$C$1026,"&gt;"&amp;C135)=0,"CURRENT","SUPERSEDED"),"CURRENT"))</f>
        <v/>
      </c>
      <c r="O135" s="19" t="n"/>
    </row>
    <row r="136">
      <c r="A136" s="19" t="n"/>
      <c r="B136" s="20" t="inlineStr">
        <is>
          <t>4503-XH-DL-6190-6121-0085-ETH-03_Rev0</t>
        </is>
      </c>
      <c r="C136" s="21" t="n">
        <v>0</v>
      </c>
      <c r="D136" s="21" t="n">
        <v>46230</v>
      </c>
      <c r="E136" s="20" t="inlineStr">
        <is>
          <t>IFC - ISSUED FOR CONSTRUCTION</t>
        </is>
      </c>
      <c r="F136" s="21" t="n">
        <v>6190</v>
      </c>
      <c r="G136" s="20" t="inlineStr">
        <is>
          <t>PIPE B36.10/36.19 A333 6-SMLS BE BE</t>
        </is>
      </c>
      <c r="H136" s="20" t="inlineStr">
        <is>
          <t>A333</t>
        </is>
      </c>
      <c r="I136" s="22" t="n">
        <v>4</v>
      </c>
      <c r="J136" s="21" t="inlineStr">
        <is>
          <t>STD</t>
        </is>
      </c>
      <c r="K136" s="20" t="inlineStr">
        <is>
          <t>I63649186</t>
        </is>
      </c>
      <c r="L136" s="22" t="n">
        <v>29.3</v>
      </c>
      <c r="M136" s="20">
        <f>IFERROR(LEFT(B136,SEARCH("_Rev",B136)-1),B136)</f>
        <v/>
      </c>
      <c r="N136" s="20">
        <f>IF(B136="","",IF(ISNUMBER(C136),IF(COUNTIFS($M$3:$M$1026,M136,$C$3:$C$1026,"&gt;"&amp;C136)=0,"CURRENT","SUPERSEDED"),"CURRENT"))</f>
        <v/>
      </c>
      <c r="O136" s="19" t="n"/>
    </row>
    <row r="137">
      <c r="A137" s="19" t="n"/>
      <c r="B137" s="20" t="inlineStr">
        <is>
          <t>4503-XH-DL-6190-6121-0085-ETH-04_Rev0</t>
        </is>
      </c>
      <c r="C137" s="21" t="n">
        <v>0</v>
      </c>
      <c r="D137" s="21" t="n">
        <v>46230</v>
      </c>
      <c r="E137" s="20" t="inlineStr">
        <is>
          <t>IFC - ISSUED FOR CONSTRUCTION</t>
        </is>
      </c>
      <c r="F137" s="21" t="n">
        <v>6190</v>
      </c>
      <c r="G137" s="20" t="inlineStr">
        <is>
          <t>PIPE B36.10/36.19 A333 6-SMLS BE BE</t>
        </is>
      </c>
      <c r="H137" s="20" t="inlineStr">
        <is>
          <t>A333</t>
        </is>
      </c>
      <c r="I137" s="22" t="n">
        <v>4</v>
      </c>
      <c r="J137" s="21" t="inlineStr">
        <is>
          <t>STD</t>
        </is>
      </c>
      <c r="K137" s="20" t="inlineStr">
        <is>
          <t>I63649186</t>
        </is>
      </c>
      <c r="L137" s="22" t="n">
        <v>16.6</v>
      </c>
      <c r="M137" s="20">
        <f>IFERROR(LEFT(B137,SEARCH("_Rev",B137)-1),B137)</f>
        <v/>
      </c>
      <c r="N137" s="20">
        <f>IF(B137="","",IF(ISNUMBER(C137),IF(COUNTIFS($M$3:$M$1026,M137,$C$3:$C$1026,"&gt;"&amp;C137)=0,"CURRENT","SUPERSEDED"),"CURRENT"))</f>
        <v/>
      </c>
      <c r="O137" s="19" t="n"/>
    </row>
    <row r="138">
      <c r="A138" s="19" t="n"/>
      <c r="B138" s="20" t="inlineStr">
        <is>
          <t>4503-XH-DL-6190-8912-5012-SC-01_Rev0</t>
        </is>
      </c>
      <c r="C138" s="21" t="n">
        <v>0</v>
      </c>
      <c r="D138" s="21" t="n">
        <v>46230</v>
      </c>
      <c r="E138" s="20" t="inlineStr">
        <is>
          <t>IFC - ISSUED FOR CONSTRUCTION</t>
        </is>
      </c>
      <c r="F138" s="21" t="n">
        <v>6190</v>
      </c>
      <c r="G138" s="20" t="inlineStr">
        <is>
          <t>PIPE B36.10/36.19 A333 6-SMLS BE BE</t>
        </is>
      </c>
      <c r="H138" s="20" t="inlineStr">
        <is>
          <t>A333</t>
        </is>
      </c>
      <c r="I138" s="22" t="n">
        <v>2</v>
      </c>
      <c r="J138" s="21" t="inlineStr">
        <is>
          <t>XS</t>
        </is>
      </c>
      <c r="K138" s="20" t="inlineStr">
        <is>
          <t>I64108762</t>
        </is>
      </c>
      <c r="L138" s="22" t="n">
        <v>27.2</v>
      </c>
      <c r="M138" s="20">
        <f>IFERROR(LEFT(B138,SEARCH("_Rev",B138)-1),B138)</f>
        <v/>
      </c>
      <c r="N138" s="20">
        <f>IF(B138="","",IF(ISNUMBER(C138),IF(COUNTIFS($M$3:$M$1026,M138,$C$3:$C$1026,"&gt;"&amp;C138)=0,"CURRENT","SUPERSEDED"),"CURRENT"))</f>
        <v/>
      </c>
      <c r="O138" s="19" t="n"/>
    </row>
    <row r="139">
      <c r="A139" s="19" t="n"/>
      <c r="B139" s="20" t="inlineStr">
        <is>
          <t>4503-XH-DL-6190-8912-5012-SC-02_Rev0</t>
        </is>
      </c>
      <c r="C139" s="21" t="n">
        <v>0</v>
      </c>
      <c r="D139" s="21" t="n">
        <v>46230</v>
      </c>
      <c r="E139" s="20" t="inlineStr">
        <is>
          <t>IFC - ISSUED FOR CONSTRUCTION</t>
        </is>
      </c>
      <c r="F139" s="21" t="n">
        <v>6190</v>
      </c>
      <c r="G139" s="20" t="inlineStr">
        <is>
          <t>PIPE B36.10/36.19 A333 6-SMLS BE BE</t>
        </is>
      </c>
      <c r="H139" s="20" t="inlineStr">
        <is>
          <t>A333</t>
        </is>
      </c>
      <c r="I139" s="22" t="n">
        <v>2</v>
      </c>
      <c r="J139" s="21" t="inlineStr">
        <is>
          <t>XS</t>
        </is>
      </c>
      <c r="K139" s="20" t="inlineStr">
        <is>
          <t>I64108762</t>
        </is>
      </c>
      <c r="L139" s="22" t="n">
        <v>13.6</v>
      </c>
      <c r="M139" s="20">
        <f>IFERROR(LEFT(B139,SEARCH("_Rev",B139)-1),B139)</f>
        <v/>
      </c>
      <c r="N139" s="20">
        <f>IF(B139="","",IF(ISNUMBER(C139),IF(COUNTIFS($M$3:$M$1026,M139,$C$3:$C$1026,"&gt;"&amp;C139)=0,"CURRENT","SUPERSEDED"),"CURRENT"))</f>
        <v/>
      </c>
      <c r="O139" s="19" t="n"/>
    </row>
    <row r="140">
      <c r="A140" s="19" t="n"/>
      <c r="B140" s="20" t="inlineStr">
        <is>
          <t>4503-XH-DL-6190-8912-5012-SC-02_Rev0</t>
        </is>
      </c>
      <c r="C140" s="21" t="n">
        <v>0</v>
      </c>
      <c r="D140" s="21" t="n">
        <v>46230</v>
      </c>
      <c r="E140" s="20" t="inlineStr">
        <is>
          <t>IFC - ISSUED FOR CONSTRUCTION</t>
        </is>
      </c>
      <c r="F140" s="21" t="n">
        <v>6190</v>
      </c>
      <c r="G140" s="20" t="inlineStr">
        <is>
          <t>PIPE B36.10/36.19 A333 6-SMLS PE PE</t>
        </is>
      </c>
      <c r="H140" s="20" t="inlineStr">
        <is>
          <t>A333</t>
        </is>
      </c>
      <c r="I140" s="22" t="n">
        <v>1</v>
      </c>
      <c r="J140" s="21" t="inlineStr">
        <is>
          <t>XS</t>
        </is>
      </c>
      <c r="K140" s="20" t="inlineStr">
        <is>
          <t>I63649231</t>
        </is>
      </c>
      <c r="L140" s="22" t="n">
        <v>0.1</v>
      </c>
      <c r="M140" s="20">
        <f>IFERROR(LEFT(B140,SEARCH("_Rev",B140)-1),B140)</f>
        <v/>
      </c>
      <c r="N140" s="20">
        <f>IF(B140="","",IF(ISNUMBER(C140),IF(COUNTIFS($M$3:$M$1026,M140,$C$3:$C$1026,"&gt;"&amp;C140)=0,"CURRENT","SUPERSEDED"),"CURRENT"))</f>
        <v/>
      </c>
      <c r="O140" s="19" t="n"/>
    </row>
    <row r="141">
      <c r="A141" s="19" t="n"/>
      <c r="B141" s="20" t="inlineStr">
        <is>
          <t>4503-XH-DL-6190-8941-5004-HWR1-01_Rev0</t>
        </is>
      </c>
      <c r="C141" s="21" t="n">
        <v>0</v>
      </c>
      <c r="D141" s="21" t="n">
        <v>46234</v>
      </c>
      <c r="E141" s="20" t="inlineStr">
        <is>
          <t>IFC - ISSUED FOR CONSTRUCTION</t>
        </is>
      </c>
      <c r="F141" s="21" t="n">
        <v>6190</v>
      </c>
      <c r="G141" s="20" t="inlineStr">
        <is>
          <t>PIPE B36.10/36.19 A333 6-SMLS BE BE</t>
        </is>
      </c>
      <c r="H141" s="20" t="inlineStr">
        <is>
          <t>A333</t>
        </is>
      </c>
      <c r="I141" s="22" t="n">
        <v>6</v>
      </c>
      <c r="J141" s="21" t="inlineStr">
        <is>
          <t>STD</t>
        </is>
      </c>
      <c r="K141" s="20" t="inlineStr">
        <is>
          <t>I63649156</t>
        </is>
      </c>
      <c r="L141" s="22" t="n">
        <v>31.1</v>
      </c>
      <c r="M141" s="20">
        <f>IFERROR(LEFT(B141,SEARCH("_Rev",B141)-1),B141)</f>
        <v/>
      </c>
      <c r="N141" s="20">
        <f>IF(B141="","",IF(ISNUMBER(C141),IF(COUNTIFS($M$3:$M$1026,M141,$C$3:$C$1026,"&gt;"&amp;C141)=0,"CURRENT","SUPERSEDED"),"CURRENT"))</f>
        <v/>
      </c>
      <c r="O141" s="19" t="n"/>
    </row>
    <row r="142">
      <c r="A142" s="19" t="n"/>
      <c r="B142" s="20" t="inlineStr">
        <is>
          <t>4503-XH-DL-6190-8950-5001-LPN-01_Rev0</t>
        </is>
      </c>
      <c r="C142" s="21" t="n">
        <v>0</v>
      </c>
      <c r="D142" s="21" t="n">
        <v>46234</v>
      </c>
      <c r="E142" s="20" t="inlineStr">
        <is>
          <t>IFC - ISSUED FOR CONSTRUCTION</t>
        </is>
      </c>
      <c r="F142" s="21" t="n">
        <v>6190</v>
      </c>
      <c r="G142" s="20" t="inlineStr">
        <is>
          <t>PIPE B36.10/36.19 A333 6-SMLS BE BE</t>
        </is>
      </c>
      <c r="H142" s="20" t="inlineStr">
        <is>
          <t>A333</t>
        </is>
      </c>
      <c r="I142" s="22" t="n">
        <v>6</v>
      </c>
      <c r="J142" s="21" t="inlineStr">
        <is>
          <t>STD</t>
        </is>
      </c>
      <c r="K142" s="20" t="inlineStr">
        <is>
          <t>I63649156</t>
        </is>
      </c>
      <c r="L142" s="22" t="n">
        <v>30.6</v>
      </c>
      <c r="M142" s="20">
        <f>IFERROR(LEFT(B142,SEARCH("_Rev",B142)-1),B142)</f>
        <v/>
      </c>
      <c r="N142" s="20">
        <f>IF(B142="","",IF(ISNUMBER(C142),IF(COUNTIFS($M$3:$M$1026,M142,$C$3:$C$1026,"&gt;"&amp;C142)=0,"CURRENT","SUPERSEDED"),"CURRENT"))</f>
        <v/>
      </c>
      <c r="O142" s="19" t="n"/>
    </row>
    <row r="143">
      <c r="A143" s="19" t="n"/>
      <c r="B143" s="20" t="inlineStr">
        <is>
          <t>4503-XH-DL-6190-8967-0803-BU-01_Rev0</t>
        </is>
      </c>
      <c r="C143" s="21" t="n">
        <v>0</v>
      </c>
      <c r="D143" s="21" t="n">
        <v>46232</v>
      </c>
      <c r="E143" s="20" t="inlineStr">
        <is>
          <t>IFC - ISSUED FOR CONSTRUCTION</t>
        </is>
      </c>
      <c r="F143" s="21" t="n">
        <v>6190</v>
      </c>
      <c r="G143" s="20" t="inlineStr">
        <is>
          <t>PIPE B36.10/36.19 A333 6-SMLS BE BE</t>
        </is>
      </c>
      <c r="H143" s="20" t="inlineStr">
        <is>
          <t>A333</t>
        </is>
      </c>
      <c r="I143" s="22" t="n">
        <v>3</v>
      </c>
      <c r="J143" s="21" t="inlineStr">
        <is>
          <t>STD</t>
        </is>
      </c>
      <c r="K143" s="20" t="inlineStr">
        <is>
          <t>I63649171</t>
        </is>
      </c>
      <c r="L143" s="22" t="n">
        <v>32.8</v>
      </c>
      <c r="M143" s="20">
        <f>IFERROR(LEFT(B143,SEARCH("_Rev",B143)-1),B143)</f>
        <v/>
      </c>
      <c r="N143" s="20">
        <f>IF(B143="","",IF(ISNUMBER(C143),IF(COUNTIFS($M$3:$M$1026,M143,$C$3:$C$1026,"&gt;"&amp;C143)=0,"CURRENT","SUPERSEDED"),"CURRENT"))</f>
        <v/>
      </c>
      <c r="O143" s="19" t="n"/>
    </row>
    <row r="144">
      <c r="A144" s="19" t="n"/>
      <c r="B144" s="20" t="inlineStr">
        <is>
          <t>4503-XH-DL-6190-8972-5002-IPE-01_Rev0</t>
        </is>
      </c>
      <c r="C144" s="21" t="n">
        <v>0</v>
      </c>
      <c r="D144" s="21" t="n">
        <v>46234</v>
      </c>
      <c r="E144" s="20" t="inlineStr">
        <is>
          <t>IFC - ISSUED FOR CONSTRUCTION</t>
        </is>
      </c>
      <c r="F144" s="21" t="n">
        <v>6190</v>
      </c>
      <c r="G144" s="20" t="inlineStr">
        <is>
          <t>PIPE B36.10/36.19 A333 6-SMLS BE BE</t>
        </is>
      </c>
      <c r="H144" s="20" t="inlineStr">
        <is>
          <t>A333</t>
        </is>
      </c>
      <c r="I144" s="22" t="n">
        <v>2</v>
      </c>
      <c r="J144" s="21" t="inlineStr">
        <is>
          <t>XS</t>
        </is>
      </c>
      <c r="K144" s="20" t="inlineStr">
        <is>
          <t>I64108762</t>
        </is>
      </c>
      <c r="L144" s="22" t="n">
        <v>5.9</v>
      </c>
      <c r="M144" s="20">
        <f>IFERROR(LEFT(B144,SEARCH("_Rev",B144)-1),B144)</f>
        <v/>
      </c>
      <c r="N144" s="20">
        <f>IF(B144="","",IF(ISNUMBER(C144),IF(COUNTIFS($M$3:$M$1026,M144,$C$3:$C$1026,"&gt;"&amp;C144)=0,"CURRENT","SUPERSEDED"),"CURRENT"))</f>
        <v/>
      </c>
      <c r="O144" s="19" t="n"/>
    </row>
    <row r="145">
      <c r="A145" s="19" t="n"/>
      <c r="B145" s="20" t="inlineStr">
        <is>
          <t>4503-XH-DL-6190-8972-5002-IPE-02_Rev0</t>
        </is>
      </c>
      <c r="C145" s="21" t="n">
        <v>0</v>
      </c>
      <c r="D145" s="21" t="n">
        <v>46234</v>
      </c>
      <c r="E145" s="20" t="inlineStr">
        <is>
          <t>IFC - ISSUED FOR CONSTRUCTION</t>
        </is>
      </c>
      <c r="F145" s="21" t="n">
        <v>6190</v>
      </c>
      <c r="G145" s="20" t="inlineStr">
        <is>
          <t>PIPE B36.10/36.19 A333 6-SMLS BE BE</t>
        </is>
      </c>
      <c r="H145" s="20" t="inlineStr">
        <is>
          <t>A333</t>
        </is>
      </c>
      <c r="I145" s="22" t="n">
        <v>2</v>
      </c>
      <c r="J145" s="21" t="inlineStr">
        <is>
          <t>XS</t>
        </is>
      </c>
      <c r="K145" s="20" t="inlineStr">
        <is>
          <t>I64108762</t>
        </is>
      </c>
      <c r="L145" s="22" t="n">
        <v>37.1</v>
      </c>
      <c r="M145" s="20">
        <f>IFERROR(LEFT(B145,SEARCH("_Rev",B145)-1),B145)</f>
        <v/>
      </c>
      <c r="N145" s="20">
        <f>IF(B145="","",IF(ISNUMBER(C145),IF(COUNTIFS($M$3:$M$1026,M145,$C$3:$C$1026,"&gt;"&amp;C145)=0,"CURRENT","SUPERSEDED"),"CURRENT"))</f>
        <v/>
      </c>
      <c r="O145" s="19" t="n"/>
    </row>
    <row r="146">
      <c r="A146" s="19" t="n"/>
      <c r="B146" s="20" t="inlineStr">
        <is>
          <t>4503-XH-DL-8631-8631-5014-CWR-01_Rev0</t>
        </is>
      </c>
      <c r="C146" s="21" t="n">
        <v>0</v>
      </c>
      <c r="D146" s="21" t="n">
        <v>46237</v>
      </c>
      <c r="E146" s="20" t="inlineStr">
        <is>
          <t>IFC-ISSUED FOR CONSTRUCTION</t>
        </is>
      </c>
      <c r="F146" s="21" t="n">
        <v>8631</v>
      </c>
      <c r="G146" s="20" t="inlineStr">
        <is>
          <t>PIPE B36.10/36.19 A671 CC60 CL.22 S2 BE BE</t>
        </is>
      </c>
      <c r="H146" s="20" t="inlineStr">
        <is>
          <t>A671</t>
        </is>
      </c>
      <c r="I146" s="22" t="n">
        <v>32</v>
      </c>
      <c r="J146" s="21" t="inlineStr">
        <is>
          <t>XS</t>
        </is>
      </c>
      <c r="K146" s="20" t="inlineStr">
        <is>
          <t>I65622125</t>
        </is>
      </c>
      <c r="L146" s="22" t="n">
        <v>17.9</v>
      </c>
      <c r="M146" s="20">
        <f>IFERROR(LEFT(B146,SEARCH("_Rev",B146)-1),B146)</f>
        <v/>
      </c>
      <c r="N146" s="20">
        <f>IF(B146="","",IF(ISNUMBER(C146),IF(COUNTIFS($M$3:$M$1026,M146,$C$3:$C$1026,"&gt;"&amp;C146)=0,"CURRENT","SUPERSEDED"),"CURRENT"))</f>
        <v/>
      </c>
      <c r="O146" s="19" t="n"/>
    </row>
    <row r="147">
      <c r="A147" s="19" t="n"/>
      <c r="B147" s="20" t="inlineStr">
        <is>
          <t>4503-XH-DL-8631-8631-5014-CWR-03_Rev0</t>
        </is>
      </c>
      <c r="C147" s="21" t="n">
        <v>0</v>
      </c>
      <c r="D147" s="21" t="n">
        <v>46237</v>
      </c>
      <c r="E147" s="20" t="inlineStr">
        <is>
          <t>IFC-ISSUED FOR CONSTRUCTION</t>
        </is>
      </c>
      <c r="F147" s="21" t="n">
        <v>8631</v>
      </c>
      <c r="G147" s="20" t="inlineStr">
        <is>
          <t>PIPE B36.10/36.19 A333 6-SMLS BE BE</t>
        </is>
      </c>
      <c r="H147" s="20" t="inlineStr">
        <is>
          <t>A333</t>
        </is>
      </c>
      <c r="I147" s="22" t="n">
        <v>2</v>
      </c>
      <c r="J147" s="21" t="inlineStr">
        <is>
          <t>XS</t>
        </is>
      </c>
      <c r="K147" s="20" t="inlineStr">
        <is>
          <t>I64108762</t>
        </is>
      </c>
      <c r="L147" s="22" t="n">
        <v>0.6</v>
      </c>
      <c r="M147" s="20">
        <f>IFERROR(LEFT(B147,SEARCH("_Rev",B147)-1),B147)</f>
        <v/>
      </c>
      <c r="N147" s="20">
        <f>IF(B147="","",IF(ISNUMBER(C147),IF(COUNTIFS($M$3:$M$1026,M147,$C$3:$C$1026,"&gt;"&amp;C147)=0,"CURRENT","SUPERSEDED"),"CURRENT"))</f>
        <v/>
      </c>
      <c r="O147" s="19" t="n"/>
    </row>
    <row r="148">
      <c r="A148" s="19" t="n"/>
      <c r="B148" s="20" t="inlineStr">
        <is>
          <t>4503-XH-DL-8631-8631-5014-CWR-04_Rev0</t>
        </is>
      </c>
      <c r="C148" s="21" t="n">
        <v>0</v>
      </c>
      <c r="D148" s="21" t="n">
        <v>46237</v>
      </c>
      <c r="E148" s="20" t="inlineStr">
        <is>
          <t>IFC-ISSUED FOR CONSTRUCTION</t>
        </is>
      </c>
      <c r="F148" s="21" t="n">
        <v>8631</v>
      </c>
      <c r="G148" s="20" t="inlineStr">
        <is>
          <t>PIPE B36.10/36.19 A333 6-SMLS BE BE</t>
        </is>
      </c>
      <c r="H148" s="20" t="inlineStr">
        <is>
          <t>A333</t>
        </is>
      </c>
      <c r="I148" s="22" t="n">
        <v>2</v>
      </c>
      <c r="J148" s="21" t="inlineStr">
        <is>
          <t>XS</t>
        </is>
      </c>
      <c r="K148" s="20" t="inlineStr">
        <is>
          <t>I64108762</t>
        </is>
      </c>
      <c r="L148" s="22" t="n">
        <v>0.1</v>
      </c>
      <c r="M148" s="20">
        <f>IFERROR(LEFT(B148,SEARCH("_Rev",B148)-1),B148)</f>
        <v/>
      </c>
      <c r="N148" s="20">
        <f>IF(B148="","",IF(ISNUMBER(C148),IF(COUNTIFS($M$3:$M$1026,M148,$C$3:$C$1026,"&gt;"&amp;C148)=0,"CURRENT","SUPERSEDED"),"CURRENT"))</f>
        <v/>
      </c>
      <c r="O148" s="19" t="n"/>
    </row>
    <row r="149">
      <c r="A149" s="19" t="n"/>
      <c r="B149" s="20" t="inlineStr">
        <is>
          <t>4503-XH-DL-8631-8631-5014-CWR-05_Rev0</t>
        </is>
      </c>
      <c r="C149" s="21" t="n">
        <v>0</v>
      </c>
      <c r="D149" s="21" t="n">
        <v>46237</v>
      </c>
      <c r="E149" s="20" t="inlineStr">
        <is>
          <t>IFC-ISSUED FOR CONSTRUCTION</t>
        </is>
      </c>
      <c r="F149" s="21" t="n">
        <v>8631</v>
      </c>
      <c r="G149" s="20" t="inlineStr">
        <is>
          <t>PIPE B36.10/36.19 A333 6-SMLS BE BE</t>
        </is>
      </c>
      <c r="H149" s="20" t="inlineStr">
        <is>
          <t>A333</t>
        </is>
      </c>
      <c r="I149" s="22" t="n">
        <v>10</v>
      </c>
      <c r="J149" s="21" t="inlineStr">
        <is>
          <t>STD</t>
        </is>
      </c>
      <c r="K149" s="20" t="inlineStr">
        <is>
          <t>I64108754</t>
        </is>
      </c>
      <c r="L149" s="22" t="n">
        <v>0.2</v>
      </c>
      <c r="M149" s="20">
        <f>IFERROR(LEFT(B149,SEARCH("_Rev",B149)-1),B149)</f>
        <v/>
      </c>
      <c r="N149" s="20">
        <f>IF(B149="","",IF(ISNUMBER(C149),IF(COUNTIFS($M$3:$M$1026,M149,$C$3:$C$1026,"&gt;"&amp;C149)=0,"CURRENT","SUPERSEDED"),"CURRENT"))</f>
        <v/>
      </c>
      <c r="O149" s="19" t="n"/>
    </row>
    <row r="150">
      <c r="A150" s="19" t="n"/>
      <c r="B150" s="20" t="inlineStr">
        <is>
          <t>4503-XH-DL-8631-8631-5015-CWR-01_Rev0</t>
        </is>
      </c>
      <c r="C150" s="21" t="n">
        <v>0</v>
      </c>
      <c r="D150" s="21" t="n">
        <v>46237</v>
      </c>
      <c r="E150" s="20" t="inlineStr">
        <is>
          <t>IFC-ISSUED FOR CONSTRUCTION</t>
        </is>
      </c>
      <c r="F150" s="21" t="n">
        <v>8631</v>
      </c>
      <c r="G150" s="20" t="inlineStr">
        <is>
          <t>PIPE B36.10/36.19 A333 6-SMLS BE BE</t>
        </is>
      </c>
      <c r="H150" s="20" t="inlineStr">
        <is>
          <t>A333</t>
        </is>
      </c>
      <c r="I150" s="22" t="n">
        <v>6</v>
      </c>
      <c r="J150" s="21" t="inlineStr">
        <is>
          <t>STD</t>
        </is>
      </c>
      <c r="K150" s="20" t="inlineStr">
        <is>
          <t>I63649156</t>
        </is>
      </c>
      <c r="L150" s="22" t="n">
        <v>9.800000000000001</v>
      </c>
      <c r="M150" s="20">
        <f>IFERROR(LEFT(B150,SEARCH("_Rev",B150)-1),B150)</f>
        <v/>
      </c>
      <c r="N150" s="20">
        <f>IF(B150="","",IF(ISNUMBER(C150),IF(COUNTIFS($M$3:$M$1026,M150,$C$3:$C$1026,"&gt;"&amp;C150)=0,"CURRENT","SUPERSEDED"),"CURRENT"))</f>
        <v/>
      </c>
      <c r="O150" s="19" t="n"/>
    </row>
    <row r="151">
      <c r="A151" s="19" t="n"/>
      <c r="B151" s="20" t="inlineStr">
        <is>
          <t>4503-XH-DL-8631-8631-5015-CWR-01_Rev0</t>
        </is>
      </c>
      <c r="C151" s="21" t="n">
        <v>0</v>
      </c>
      <c r="D151" s="21" t="n">
        <v>46237</v>
      </c>
      <c r="E151" s="20" t="inlineStr">
        <is>
          <t>IFC-ISSUED FOR CONSTRUCTION</t>
        </is>
      </c>
      <c r="F151" s="21" t="n">
        <v>8631</v>
      </c>
      <c r="G151" s="20" t="inlineStr">
        <is>
          <t>PIPE B36.10/36.19 A333 6-SMLS BE BE</t>
        </is>
      </c>
      <c r="H151" s="20" t="inlineStr">
        <is>
          <t>A333</t>
        </is>
      </c>
      <c r="I151" s="22" t="n">
        <v>2</v>
      </c>
      <c r="J151" s="21" t="inlineStr">
        <is>
          <t>XS</t>
        </is>
      </c>
      <c r="K151" s="20" t="inlineStr">
        <is>
          <t>I64108762</t>
        </is>
      </c>
      <c r="L151" s="22" t="n">
        <v>1.1</v>
      </c>
      <c r="M151" s="20">
        <f>IFERROR(LEFT(B151,SEARCH("_Rev",B151)-1),B151)</f>
        <v/>
      </c>
      <c r="N151" s="20">
        <f>IF(B151="","",IF(ISNUMBER(C151),IF(COUNTIFS($M$3:$M$1026,M151,$C$3:$C$1026,"&gt;"&amp;C151)=0,"CURRENT","SUPERSEDED"),"CURRENT"))</f>
        <v/>
      </c>
      <c r="O151" s="19" t="n"/>
    </row>
    <row r="152">
      <c r="A152" s="19" t="n"/>
      <c r="B152" s="20" t="inlineStr">
        <is>
          <t>4503-XH-DL-8631-8631-5015-CWR-02_Rev0</t>
        </is>
      </c>
      <c r="C152" s="21" t="n">
        <v>0</v>
      </c>
      <c r="D152" s="21" t="n">
        <v>46237</v>
      </c>
      <c r="E152" s="20" t="inlineStr">
        <is>
          <t>IFC-ISSUED FOR CONSTRUCTION</t>
        </is>
      </c>
      <c r="F152" s="21" t="n">
        <v>8631</v>
      </c>
      <c r="G152" s="20" t="inlineStr">
        <is>
          <t>PIPE B36.10/36.19 A333 6-SMLS BE BE</t>
        </is>
      </c>
      <c r="H152" s="20" t="inlineStr">
        <is>
          <t>A333</t>
        </is>
      </c>
      <c r="I152" s="22" t="n">
        <v>2</v>
      </c>
      <c r="J152" s="21" t="inlineStr">
        <is>
          <t>XS</t>
        </is>
      </c>
      <c r="K152" s="20" t="inlineStr">
        <is>
          <t>I64108762</t>
        </is>
      </c>
      <c r="L152" s="22" t="n">
        <v>2.5</v>
      </c>
      <c r="M152" s="20">
        <f>IFERROR(LEFT(B152,SEARCH("_Rev",B152)-1),B152)</f>
        <v/>
      </c>
      <c r="N152" s="20">
        <f>IF(B152="","",IF(ISNUMBER(C152),IF(COUNTIFS($M$3:$M$1026,M152,$C$3:$C$1026,"&gt;"&amp;C152)=0,"CURRENT","SUPERSEDED"),"CURRENT"))</f>
        <v/>
      </c>
      <c r="O152" s="19" t="n"/>
    </row>
    <row r="153">
      <c r="A153" s="19" t="n"/>
      <c r="B153" s="20" t="inlineStr">
        <is>
          <t>4503-XH-DL-8631-8631-5016-CWR-01_Rev0</t>
        </is>
      </c>
      <c r="C153" s="21" t="n">
        <v>0</v>
      </c>
      <c r="D153" s="21" t="n">
        <v>46237</v>
      </c>
      <c r="E153" s="20" t="inlineStr">
        <is>
          <t>IFC-ISSUED FOR CONSTRUCTION</t>
        </is>
      </c>
      <c r="F153" s="21" t="n">
        <v>8631</v>
      </c>
      <c r="G153" s="20" t="inlineStr">
        <is>
          <t>PIPE B36.10/36.19 A671 CC60 CL.22 S2 BE BE</t>
        </is>
      </c>
      <c r="H153" s="20" t="inlineStr">
        <is>
          <t>A671</t>
        </is>
      </c>
      <c r="I153" s="22" t="n">
        <v>28</v>
      </c>
      <c r="J153" s="21" t="inlineStr">
        <is>
          <t>XS</t>
        </is>
      </c>
      <c r="K153" s="20" t="inlineStr">
        <is>
          <t>I65622127</t>
        </is>
      </c>
      <c r="L153" s="22" t="n">
        <v>3.6</v>
      </c>
      <c r="M153" s="20">
        <f>IFERROR(LEFT(B153,SEARCH("_Rev",B153)-1),B153)</f>
        <v/>
      </c>
      <c r="N153" s="20">
        <f>IF(B153="","",IF(ISNUMBER(C153),IF(COUNTIFS($M$3:$M$1026,M153,$C$3:$C$1026,"&gt;"&amp;C153)=0,"CURRENT","SUPERSEDED"),"CURRENT"))</f>
        <v/>
      </c>
      <c r="O153" s="19" t="n"/>
    </row>
    <row r="154">
      <c r="A154" s="19" t="n"/>
      <c r="B154" s="20" t="inlineStr">
        <is>
          <t>4503-XH-DL-8631-8631-5017-CWR-01_Rev0</t>
        </is>
      </c>
      <c r="C154" s="21" t="n">
        <v>0</v>
      </c>
      <c r="D154" s="21" t="n">
        <v>46237</v>
      </c>
      <c r="E154" s="20" t="inlineStr">
        <is>
          <t>IFC-ISSUED FOR CONSTRUCTION</t>
        </is>
      </c>
      <c r="F154" s="21" t="n">
        <v>8631</v>
      </c>
      <c r="G154" s="20" t="inlineStr">
        <is>
          <t>PIPE B36.10/36.19 A671 CC60 CL.22 S2 BE BE</t>
        </is>
      </c>
      <c r="H154" s="20" t="inlineStr">
        <is>
          <t>A671</t>
        </is>
      </c>
      <c r="I154" s="22" t="n">
        <v>32</v>
      </c>
      <c r="J154" s="21" t="inlineStr">
        <is>
          <t>XS</t>
        </is>
      </c>
      <c r="K154" s="20" t="inlineStr">
        <is>
          <t>I65622125</t>
        </is>
      </c>
      <c r="L154" s="22" t="n">
        <v>17.9</v>
      </c>
      <c r="M154" s="20">
        <f>IFERROR(LEFT(B154,SEARCH("_Rev",B154)-1),B154)</f>
        <v/>
      </c>
      <c r="N154" s="20">
        <f>IF(B154="","",IF(ISNUMBER(C154),IF(COUNTIFS($M$3:$M$1026,M154,$C$3:$C$1026,"&gt;"&amp;C154)=0,"CURRENT","SUPERSEDED"),"CURRENT"))</f>
        <v/>
      </c>
      <c r="O154" s="19" t="n"/>
    </row>
    <row r="155">
      <c r="A155" s="19" t="n"/>
      <c r="B155" s="20" t="inlineStr">
        <is>
          <t>4503-XH-DL-8631-8631-5017-CWR-03_Rev0</t>
        </is>
      </c>
      <c r="C155" s="21" t="n">
        <v>0</v>
      </c>
      <c r="D155" s="21" t="n">
        <v>46237</v>
      </c>
      <c r="E155" s="20" t="inlineStr">
        <is>
          <t>IFC-ISSUED FOR CONSTRUCTION</t>
        </is>
      </c>
      <c r="F155" s="21" t="n">
        <v>8631</v>
      </c>
      <c r="G155" s="20" t="inlineStr">
        <is>
          <t>PIPE B36.10/36.19 A333 6-SMLS BE BE</t>
        </is>
      </c>
      <c r="H155" s="20" t="inlineStr">
        <is>
          <t>A333</t>
        </is>
      </c>
      <c r="I155" s="22" t="n">
        <v>2</v>
      </c>
      <c r="J155" s="21" t="inlineStr">
        <is>
          <t>XS</t>
        </is>
      </c>
      <c r="K155" s="20" t="inlineStr">
        <is>
          <t>I64108762</t>
        </is>
      </c>
      <c r="L155" s="22" t="n">
        <v>0.6</v>
      </c>
      <c r="M155" s="20">
        <f>IFERROR(LEFT(B155,SEARCH("_Rev",B155)-1),B155)</f>
        <v/>
      </c>
      <c r="N155" s="20">
        <f>IF(B155="","",IF(ISNUMBER(C155),IF(COUNTIFS($M$3:$M$1026,M155,$C$3:$C$1026,"&gt;"&amp;C155)=0,"CURRENT","SUPERSEDED"),"CURRENT"))</f>
        <v/>
      </c>
      <c r="O155" s="19" t="n"/>
    </row>
    <row r="156">
      <c r="A156" s="19" t="n"/>
      <c r="B156" s="20" t="inlineStr">
        <is>
          <t>4503-XH-DL-8631-8631-5017-CWR-04_Rev0</t>
        </is>
      </c>
      <c r="C156" s="21" t="n">
        <v>0</v>
      </c>
      <c r="D156" s="21" t="n">
        <v>46237</v>
      </c>
      <c r="E156" s="20" t="inlineStr">
        <is>
          <t>IFC-ISSUED FOR CONSTRUCTION</t>
        </is>
      </c>
      <c r="F156" s="21" t="n">
        <v>8631</v>
      </c>
      <c r="G156" s="20" t="inlineStr">
        <is>
          <t>PIPE B36.10/36.19 A333 6-SMLS BE BE</t>
        </is>
      </c>
      <c r="H156" s="20" t="inlineStr">
        <is>
          <t>A333</t>
        </is>
      </c>
      <c r="I156" s="22" t="n">
        <v>2</v>
      </c>
      <c r="J156" s="21" t="inlineStr">
        <is>
          <t>XS</t>
        </is>
      </c>
      <c r="K156" s="20" t="inlineStr">
        <is>
          <t>I64108762</t>
        </is>
      </c>
      <c r="L156" s="22" t="n">
        <v>0.1</v>
      </c>
      <c r="M156" s="20">
        <f>IFERROR(LEFT(B156,SEARCH("_Rev",B156)-1),B156)</f>
        <v/>
      </c>
      <c r="N156" s="20">
        <f>IF(B156="","",IF(ISNUMBER(C156),IF(COUNTIFS($M$3:$M$1026,M156,$C$3:$C$1026,"&gt;"&amp;C156)=0,"CURRENT","SUPERSEDED"),"CURRENT"))</f>
        <v/>
      </c>
      <c r="O156" s="19" t="n"/>
    </row>
    <row r="157">
      <c r="A157" s="19" t="n"/>
      <c r="B157" s="20" t="inlineStr">
        <is>
          <t>4503-XH-DL-8631-8631-5017-CWR-05_Rev0</t>
        </is>
      </c>
      <c r="C157" s="21" t="n">
        <v>0</v>
      </c>
      <c r="D157" s="21" t="n">
        <v>46237</v>
      </c>
      <c r="E157" s="20" t="inlineStr">
        <is>
          <t>IFC-ISSUED FOR CONSTRUCTION</t>
        </is>
      </c>
      <c r="F157" s="21" t="n">
        <v>8631</v>
      </c>
      <c r="G157" s="20" t="inlineStr">
        <is>
          <t>PIPE B36.10/36.19 A333 6-SMLS BE BE</t>
        </is>
      </c>
      <c r="H157" s="20" t="inlineStr">
        <is>
          <t>A333</t>
        </is>
      </c>
      <c r="I157" s="22" t="n">
        <v>10</v>
      </c>
      <c r="J157" s="21" t="inlineStr">
        <is>
          <t>STD</t>
        </is>
      </c>
      <c r="K157" s="20" t="inlineStr">
        <is>
          <t>I64108754</t>
        </is>
      </c>
      <c r="L157" s="22" t="n">
        <v>0.2</v>
      </c>
      <c r="M157" s="20">
        <f>IFERROR(LEFT(B157,SEARCH("_Rev",B157)-1),B157)</f>
        <v/>
      </c>
      <c r="N157" s="20">
        <f>IF(B157="","",IF(ISNUMBER(C157),IF(COUNTIFS($M$3:$M$1026,M157,$C$3:$C$1026,"&gt;"&amp;C157)=0,"CURRENT","SUPERSEDED"),"CURRENT"))</f>
        <v/>
      </c>
      <c r="O157" s="19" t="n"/>
    </row>
    <row r="158">
      <c r="A158" s="19" t="n"/>
      <c r="B158" s="20" t="inlineStr">
        <is>
          <t>4503-XH-DL-8631-8631-5018-CWR-01_Rev0</t>
        </is>
      </c>
      <c r="C158" s="21" t="n">
        <v>0</v>
      </c>
      <c r="D158" s="21" t="n">
        <v>46237</v>
      </c>
      <c r="E158" s="20" t="inlineStr">
        <is>
          <t>IFC-ISSUED FOR CONSTRUCTION</t>
        </is>
      </c>
      <c r="F158" s="21" t="n">
        <v>8631</v>
      </c>
      <c r="G158" s="20" t="inlineStr">
        <is>
          <t>PIPE B36.10/36.19 A333 6-SMLS BE BE</t>
        </is>
      </c>
      <c r="H158" s="20" t="inlineStr">
        <is>
          <t>A333</t>
        </is>
      </c>
      <c r="I158" s="22" t="n">
        <v>6</v>
      </c>
      <c r="J158" s="21" t="inlineStr">
        <is>
          <t>STD</t>
        </is>
      </c>
      <c r="K158" s="20" t="inlineStr">
        <is>
          <t>I63649156</t>
        </is>
      </c>
      <c r="L158" s="22" t="n">
        <v>9.800000000000001</v>
      </c>
      <c r="M158" s="20">
        <f>IFERROR(LEFT(B158,SEARCH("_Rev",B158)-1),B158)</f>
        <v/>
      </c>
      <c r="N158" s="20">
        <f>IF(B158="","",IF(ISNUMBER(C158),IF(COUNTIFS($M$3:$M$1026,M158,$C$3:$C$1026,"&gt;"&amp;C158)=0,"CURRENT","SUPERSEDED"),"CURRENT"))</f>
        <v/>
      </c>
      <c r="O158" s="19" t="n"/>
    </row>
    <row r="159">
      <c r="A159" s="19" t="n"/>
      <c r="B159" s="20" t="inlineStr">
        <is>
          <t>4503-XH-DL-8631-8631-5018-CWR-01_Rev0</t>
        </is>
      </c>
      <c r="C159" s="21" t="n">
        <v>0</v>
      </c>
      <c r="D159" s="21" t="n">
        <v>46237</v>
      </c>
      <c r="E159" s="20" t="inlineStr">
        <is>
          <t>IFC-ISSUED FOR CONSTRUCTION</t>
        </is>
      </c>
      <c r="F159" s="21" t="n">
        <v>8631</v>
      </c>
      <c r="G159" s="20" t="inlineStr">
        <is>
          <t>PIPE B36.10/36.19 A333 6-SMLS BE BE</t>
        </is>
      </c>
      <c r="H159" s="20" t="inlineStr">
        <is>
          <t>A333</t>
        </is>
      </c>
      <c r="I159" s="22" t="n">
        <v>2</v>
      </c>
      <c r="J159" s="21" t="inlineStr">
        <is>
          <t>XS</t>
        </is>
      </c>
      <c r="K159" s="20" t="inlineStr">
        <is>
          <t>I64108762</t>
        </is>
      </c>
      <c r="L159" s="22" t="n">
        <v>1.1</v>
      </c>
      <c r="M159" s="20">
        <f>IFERROR(LEFT(B159,SEARCH("_Rev",B159)-1),B159)</f>
        <v/>
      </c>
      <c r="N159" s="20">
        <f>IF(B159="","",IF(ISNUMBER(C159),IF(COUNTIFS($M$3:$M$1026,M159,$C$3:$C$1026,"&gt;"&amp;C159)=0,"CURRENT","SUPERSEDED"),"CURRENT"))</f>
        <v/>
      </c>
      <c r="O159" s="19" t="n"/>
    </row>
    <row r="160">
      <c r="A160" s="19" t="n"/>
      <c r="B160" s="20" t="inlineStr">
        <is>
          <t>4503-XH-DL-8631-8631-5018-CWR-02_Rev0</t>
        </is>
      </c>
      <c r="C160" s="21" t="n">
        <v>0</v>
      </c>
      <c r="D160" s="21" t="n">
        <v>46237</v>
      </c>
      <c r="E160" s="20" t="inlineStr">
        <is>
          <t>IFC-ISSUED FOR CONSTRUCTION</t>
        </is>
      </c>
      <c r="F160" s="21" t="n">
        <v>8631</v>
      </c>
      <c r="G160" s="20" t="inlineStr">
        <is>
          <t>PIPE B36.10/36.19 A333 6-SMLS BE BE</t>
        </is>
      </c>
      <c r="H160" s="20" t="inlineStr">
        <is>
          <t>A333</t>
        </is>
      </c>
      <c r="I160" s="22" t="n">
        <v>2</v>
      </c>
      <c r="J160" s="21" t="inlineStr">
        <is>
          <t>XS</t>
        </is>
      </c>
      <c r="K160" s="20" t="inlineStr">
        <is>
          <t>I64108762</t>
        </is>
      </c>
      <c r="L160" s="22" t="n">
        <v>2.5</v>
      </c>
      <c r="M160" s="20">
        <f>IFERROR(LEFT(B160,SEARCH("_Rev",B160)-1),B160)</f>
        <v/>
      </c>
      <c r="N160" s="20">
        <f>IF(B160="","",IF(ISNUMBER(C160),IF(COUNTIFS($M$3:$M$1026,M160,$C$3:$C$1026,"&gt;"&amp;C160)=0,"CURRENT","SUPERSEDED"),"CURRENT"))</f>
        <v/>
      </c>
      <c r="O160" s="19" t="n"/>
    </row>
    <row r="161">
      <c r="A161" s="19" t="n"/>
      <c r="B161" s="20" t="inlineStr">
        <is>
          <t>4503-XH-DL-8631-8631-5019-CWR-01_Rev0</t>
        </is>
      </c>
      <c r="C161" s="21" t="n">
        <v>0</v>
      </c>
      <c r="D161" s="21" t="n">
        <v>46237</v>
      </c>
      <c r="E161" s="20" t="inlineStr">
        <is>
          <t>IFC-ISSUED FOR CONSTRUCTION</t>
        </is>
      </c>
      <c r="F161" s="21" t="n">
        <v>8631</v>
      </c>
      <c r="G161" s="20" t="inlineStr">
        <is>
          <t>PIPE B36.10/36.19 A671 CC60 CL.22 S2 BE BE</t>
        </is>
      </c>
      <c r="H161" s="20" t="inlineStr">
        <is>
          <t>A671</t>
        </is>
      </c>
      <c r="I161" s="22" t="n">
        <v>28</v>
      </c>
      <c r="J161" s="21" t="inlineStr">
        <is>
          <t>XS</t>
        </is>
      </c>
      <c r="K161" s="20" t="inlineStr">
        <is>
          <t>I65622127</t>
        </is>
      </c>
      <c r="L161" s="22" t="n">
        <v>3.6</v>
      </c>
      <c r="M161" s="20">
        <f>IFERROR(LEFT(B161,SEARCH("_Rev",B161)-1),B161)</f>
        <v/>
      </c>
      <c r="N161" s="20">
        <f>IF(B161="","",IF(ISNUMBER(C161),IF(COUNTIFS($M$3:$M$1026,M161,$C$3:$C$1026,"&gt;"&amp;C161)=0,"CURRENT","SUPERSEDED"),"CURRENT"))</f>
        <v/>
      </c>
      <c r="O161" s="19" t="n"/>
    </row>
    <row r="162">
      <c r="A162" s="19" t="n"/>
      <c r="B162" s="20" t="inlineStr">
        <is>
          <t>4503-XH-DL-8631-8631-5020-CWR-01_Rev0</t>
        </is>
      </c>
      <c r="C162" s="21" t="n">
        <v>0</v>
      </c>
      <c r="D162" s="21" t="n">
        <v>46237</v>
      </c>
      <c r="E162" s="20" t="inlineStr">
        <is>
          <t>IFC-ISSUED FOR CONSTRUCTION</t>
        </is>
      </c>
      <c r="F162" s="21" t="n">
        <v>8631</v>
      </c>
      <c r="G162" s="20" t="inlineStr">
        <is>
          <t>PIPE B36.10/36.19 A671 CC60 CL.22 S2 BE BE</t>
        </is>
      </c>
      <c r="H162" s="20" t="inlineStr">
        <is>
          <t>A671</t>
        </is>
      </c>
      <c r="I162" s="22" t="n">
        <v>32</v>
      </c>
      <c r="J162" s="21" t="inlineStr">
        <is>
          <t>XS</t>
        </is>
      </c>
      <c r="K162" s="20" t="inlineStr">
        <is>
          <t>I65622125</t>
        </is>
      </c>
      <c r="L162" s="22" t="n">
        <v>17.9</v>
      </c>
      <c r="M162" s="20">
        <f>IFERROR(LEFT(B162,SEARCH("_Rev",B162)-1),B162)</f>
        <v/>
      </c>
      <c r="N162" s="20">
        <f>IF(B162="","",IF(ISNUMBER(C162),IF(COUNTIFS($M$3:$M$1026,M162,$C$3:$C$1026,"&gt;"&amp;C162)=0,"CURRENT","SUPERSEDED"),"CURRENT"))</f>
        <v/>
      </c>
      <c r="O162" s="19" t="n"/>
    </row>
    <row r="163">
      <c r="A163" s="19" t="n"/>
      <c r="B163" s="20" t="inlineStr">
        <is>
          <t>4503-XH-DL-8631-8631-5020-CWR-03_Rev0</t>
        </is>
      </c>
      <c r="C163" s="21" t="n">
        <v>0</v>
      </c>
      <c r="D163" s="21" t="n">
        <v>46237</v>
      </c>
      <c r="E163" s="20" t="inlineStr">
        <is>
          <t>IFC-ISSUED FOR CONSTRUCTION</t>
        </is>
      </c>
      <c r="F163" s="21" t="n">
        <v>8631</v>
      </c>
      <c r="G163" s="20" t="inlineStr">
        <is>
          <t>PIPE B36.10/36.19 A333 6-SMLS BE BE</t>
        </is>
      </c>
      <c r="H163" s="20" t="inlineStr">
        <is>
          <t>A333</t>
        </is>
      </c>
      <c r="I163" s="22" t="n">
        <v>2</v>
      </c>
      <c r="J163" s="21" t="inlineStr">
        <is>
          <t>XS</t>
        </is>
      </c>
      <c r="K163" s="20" t="inlineStr">
        <is>
          <t>I64108762</t>
        </is>
      </c>
      <c r="L163" s="22" t="n">
        <v>0.6</v>
      </c>
      <c r="M163" s="20">
        <f>IFERROR(LEFT(B163,SEARCH("_Rev",B163)-1),B163)</f>
        <v/>
      </c>
      <c r="N163" s="20">
        <f>IF(B163="","",IF(ISNUMBER(C163),IF(COUNTIFS($M$3:$M$1026,M163,$C$3:$C$1026,"&gt;"&amp;C163)=0,"CURRENT","SUPERSEDED"),"CURRENT"))</f>
        <v/>
      </c>
      <c r="O163" s="19" t="n"/>
    </row>
    <row r="164">
      <c r="A164" s="19" t="n"/>
      <c r="B164" s="20" t="inlineStr">
        <is>
          <t>4503-XH-DL-8631-8631-5020-CWR-04_Rev0</t>
        </is>
      </c>
      <c r="C164" s="21" t="n">
        <v>0</v>
      </c>
      <c r="D164" s="21" t="n">
        <v>46237</v>
      </c>
      <c r="E164" s="20" t="inlineStr">
        <is>
          <t>IFC-ISSUED FOR CONSTRUCTION</t>
        </is>
      </c>
      <c r="F164" s="21" t="n">
        <v>8631</v>
      </c>
      <c r="G164" s="20" t="inlineStr">
        <is>
          <t>PIPE B36.10/36.19 A333 6-SMLS BE BE</t>
        </is>
      </c>
      <c r="H164" s="20" t="inlineStr">
        <is>
          <t>A333</t>
        </is>
      </c>
      <c r="I164" s="22" t="n">
        <v>2</v>
      </c>
      <c r="J164" s="21" t="inlineStr">
        <is>
          <t>XS</t>
        </is>
      </c>
      <c r="K164" s="20" t="inlineStr">
        <is>
          <t>I64108762</t>
        </is>
      </c>
      <c r="L164" s="22" t="n">
        <v>0.1</v>
      </c>
      <c r="M164" s="20">
        <f>IFERROR(LEFT(B164,SEARCH("_Rev",B164)-1),B164)</f>
        <v/>
      </c>
      <c r="N164" s="20">
        <f>IF(B164="","",IF(ISNUMBER(C164),IF(COUNTIFS($M$3:$M$1026,M164,$C$3:$C$1026,"&gt;"&amp;C164)=0,"CURRENT","SUPERSEDED"),"CURRENT"))</f>
        <v/>
      </c>
      <c r="O164" s="19" t="n"/>
    </row>
    <row r="165">
      <c r="A165" s="19" t="n"/>
      <c r="B165" s="20" t="inlineStr">
        <is>
          <t>4503-XH-DL-8631-8631-5020-CWR-05_Rev0</t>
        </is>
      </c>
      <c r="C165" s="21" t="n">
        <v>0</v>
      </c>
      <c r="D165" s="21" t="n">
        <v>46237</v>
      </c>
      <c r="E165" s="20" t="inlineStr">
        <is>
          <t>IFC-ISSUED FOR CONSTRUCTION</t>
        </is>
      </c>
      <c r="F165" s="21" t="n">
        <v>8631</v>
      </c>
      <c r="G165" s="20" t="inlineStr">
        <is>
          <t>PIPE B36.10/36.19 A333 6-SMLS BE BE</t>
        </is>
      </c>
      <c r="H165" s="20" t="inlineStr">
        <is>
          <t>A333</t>
        </is>
      </c>
      <c r="I165" s="22" t="n">
        <v>10</v>
      </c>
      <c r="J165" s="21" t="inlineStr">
        <is>
          <t>STD</t>
        </is>
      </c>
      <c r="K165" s="20" t="inlineStr">
        <is>
          <t>I64108754</t>
        </is>
      </c>
      <c r="L165" s="22" t="n">
        <v>0.2</v>
      </c>
      <c r="M165" s="20">
        <f>IFERROR(LEFT(B165,SEARCH("_Rev",B165)-1),B165)</f>
        <v/>
      </c>
      <c r="N165" s="20">
        <f>IF(B165="","",IF(ISNUMBER(C165),IF(COUNTIFS($M$3:$M$1026,M165,$C$3:$C$1026,"&gt;"&amp;C165)=0,"CURRENT","SUPERSEDED"),"CURRENT"))</f>
        <v/>
      </c>
      <c r="O165" s="19" t="n"/>
    </row>
    <row r="166">
      <c r="A166" s="19" t="n"/>
      <c r="B166" s="20" t="inlineStr">
        <is>
          <t>4503-XH-DL-8631-8631-5021-CWR-01_Rev0</t>
        </is>
      </c>
      <c r="C166" s="21" t="n">
        <v>0</v>
      </c>
      <c r="D166" s="21" t="n">
        <v>46237</v>
      </c>
      <c r="E166" s="20" t="inlineStr">
        <is>
          <t>IFC-ISSUED FOR CONSTRUCTION</t>
        </is>
      </c>
      <c r="F166" s="21" t="n">
        <v>8631</v>
      </c>
      <c r="G166" s="20" t="inlineStr">
        <is>
          <t>PIPE B36.10/36.19 A333 6-SMLS BE BE</t>
        </is>
      </c>
      <c r="H166" s="20" t="inlineStr">
        <is>
          <t>A333</t>
        </is>
      </c>
      <c r="I166" s="22" t="n">
        <v>6</v>
      </c>
      <c r="J166" s="21" t="inlineStr">
        <is>
          <t>STD</t>
        </is>
      </c>
      <c r="K166" s="20" t="inlineStr">
        <is>
          <t>I63649156</t>
        </is>
      </c>
      <c r="L166" s="22" t="n">
        <v>9.800000000000001</v>
      </c>
      <c r="M166" s="20">
        <f>IFERROR(LEFT(B166,SEARCH("_Rev",B166)-1),B166)</f>
        <v/>
      </c>
      <c r="N166" s="20">
        <f>IF(B166="","",IF(ISNUMBER(C166),IF(COUNTIFS($M$3:$M$1026,M166,$C$3:$C$1026,"&gt;"&amp;C166)=0,"CURRENT","SUPERSEDED"),"CURRENT"))</f>
        <v/>
      </c>
      <c r="O166" s="19" t="n"/>
    </row>
    <row r="167">
      <c r="A167" s="19" t="n"/>
      <c r="B167" s="20" t="inlineStr">
        <is>
          <t>4503-XH-DL-8631-8631-5021-CWR-01_Rev0</t>
        </is>
      </c>
      <c r="C167" s="21" t="n">
        <v>0</v>
      </c>
      <c r="D167" s="21" t="n">
        <v>46237</v>
      </c>
      <c r="E167" s="20" t="inlineStr">
        <is>
          <t>IFC-ISSUED FOR CONSTRUCTION</t>
        </is>
      </c>
      <c r="F167" s="21" t="n">
        <v>8631</v>
      </c>
      <c r="G167" s="20" t="inlineStr">
        <is>
          <t>PIPE B36.10/36.19 A333 6-SMLS BE BE</t>
        </is>
      </c>
      <c r="H167" s="20" t="inlineStr">
        <is>
          <t>A333</t>
        </is>
      </c>
      <c r="I167" s="22" t="n">
        <v>2</v>
      </c>
      <c r="J167" s="21" t="inlineStr">
        <is>
          <t>XS</t>
        </is>
      </c>
      <c r="K167" s="20" t="inlineStr">
        <is>
          <t>I64108762</t>
        </is>
      </c>
      <c r="L167" s="22" t="n">
        <v>1.1</v>
      </c>
      <c r="M167" s="20">
        <f>IFERROR(LEFT(B167,SEARCH("_Rev",B167)-1),B167)</f>
        <v/>
      </c>
      <c r="N167" s="20">
        <f>IF(B167="","",IF(ISNUMBER(C167),IF(COUNTIFS($M$3:$M$1026,M167,$C$3:$C$1026,"&gt;"&amp;C167)=0,"CURRENT","SUPERSEDED"),"CURRENT"))</f>
        <v/>
      </c>
      <c r="O167" s="19" t="n"/>
    </row>
    <row r="168">
      <c r="A168" s="19" t="n"/>
      <c r="B168" s="20" t="inlineStr">
        <is>
          <t>4503-XH-DL-8631-8631-5021-CWR-02_Rev0</t>
        </is>
      </c>
      <c r="C168" s="21" t="n">
        <v>0</v>
      </c>
      <c r="D168" s="21" t="n">
        <v>46237</v>
      </c>
      <c r="E168" s="20" t="inlineStr">
        <is>
          <t>IFC-ISSUED FOR CONSTRUCTION</t>
        </is>
      </c>
      <c r="F168" s="21" t="n">
        <v>8631</v>
      </c>
      <c r="G168" s="20" t="inlineStr">
        <is>
          <t>PIPE B36.10/36.19 A333 6-SMLS BE BE</t>
        </is>
      </c>
      <c r="H168" s="20" t="inlineStr">
        <is>
          <t>A333</t>
        </is>
      </c>
      <c r="I168" s="22" t="n">
        <v>2</v>
      </c>
      <c r="J168" s="21" t="inlineStr">
        <is>
          <t>XS</t>
        </is>
      </c>
      <c r="K168" s="20" t="inlineStr">
        <is>
          <t>I64108762</t>
        </is>
      </c>
      <c r="L168" s="22" t="n">
        <v>2.5</v>
      </c>
      <c r="M168" s="20">
        <f>IFERROR(LEFT(B168,SEARCH("_Rev",B168)-1),B168)</f>
        <v/>
      </c>
      <c r="N168" s="20">
        <f>IF(B168="","",IF(ISNUMBER(C168),IF(COUNTIFS($M$3:$M$1026,M168,$C$3:$C$1026,"&gt;"&amp;C168)=0,"CURRENT","SUPERSEDED"),"CURRENT"))</f>
        <v/>
      </c>
      <c r="O168" s="19" t="n"/>
    </row>
    <row r="169">
      <c r="A169" s="19" t="n"/>
      <c r="B169" s="20" t="inlineStr">
        <is>
          <t>4503-XH-DL-8631-8631-5022-CWR-01_Rev0</t>
        </is>
      </c>
      <c r="C169" s="21" t="n">
        <v>0</v>
      </c>
      <c r="D169" s="21" t="n">
        <v>46237</v>
      </c>
      <c r="E169" s="20" t="inlineStr">
        <is>
          <t>IFC-ISSUED FOR CONSTRUCTION</t>
        </is>
      </c>
      <c r="F169" s="21" t="n">
        <v>8631</v>
      </c>
      <c r="G169" s="20" t="inlineStr">
        <is>
          <t>PIPE B36.10/36.19 A671 CC60 CL.22 S2 BE BE</t>
        </is>
      </c>
      <c r="H169" s="20" t="inlineStr">
        <is>
          <t>A671</t>
        </is>
      </c>
      <c r="I169" s="22" t="n">
        <v>28</v>
      </c>
      <c r="J169" s="21" t="inlineStr">
        <is>
          <t>XS</t>
        </is>
      </c>
      <c r="K169" s="20" t="inlineStr">
        <is>
          <t>I65622127</t>
        </is>
      </c>
      <c r="L169" s="22" t="n">
        <v>3.6</v>
      </c>
      <c r="M169" s="20">
        <f>IFERROR(LEFT(B169,SEARCH("_Rev",B169)-1),B169)</f>
        <v/>
      </c>
      <c r="N169" s="20">
        <f>IF(B169="","",IF(ISNUMBER(C169),IF(COUNTIFS($M$3:$M$1026,M169,$C$3:$C$1026,"&gt;"&amp;C169)=0,"CURRENT","SUPERSEDED"),"CURRENT"))</f>
        <v/>
      </c>
      <c r="O169" s="19" t="n"/>
    </row>
    <row r="170">
      <c r="A170" s="19" t="n"/>
      <c r="B170" s="20" t="inlineStr">
        <is>
          <t>4503-XH-DL-8631-8631-5023-CWR-01_Rev0</t>
        </is>
      </c>
      <c r="C170" s="21" t="n">
        <v>0</v>
      </c>
      <c r="D170" s="21" t="n">
        <v>46237</v>
      </c>
      <c r="E170" s="20" t="inlineStr">
        <is>
          <t>IFC-ISSUED FOR CONSTRUCTION</t>
        </is>
      </c>
      <c r="F170" s="21" t="n">
        <v>8631</v>
      </c>
      <c r="G170" s="20" t="inlineStr">
        <is>
          <t>PIPE B36.10/36.19 A671 CC60 CL.22 S2 BE BE</t>
        </is>
      </c>
      <c r="H170" s="20" t="inlineStr">
        <is>
          <t>A671</t>
        </is>
      </c>
      <c r="I170" s="22" t="n">
        <v>32</v>
      </c>
      <c r="J170" s="21" t="inlineStr">
        <is>
          <t>XS</t>
        </is>
      </c>
      <c r="K170" s="20" t="inlineStr">
        <is>
          <t>I65622125</t>
        </is>
      </c>
      <c r="L170" s="22" t="n">
        <v>17.9</v>
      </c>
      <c r="M170" s="20">
        <f>IFERROR(LEFT(B170,SEARCH("_Rev",B170)-1),B170)</f>
        <v/>
      </c>
      <c r="N170" s="20">
        <f>IF(B170="","",IF(ISNUMBER(C170),IF(COUNTIFS($M$3:$M$1026,M170,$C$3:$C$1026,"&gt;"&amp;C170)=0,"CURRENT","SUPERSEDED"),"CURRENT"))</f>
        <v/>
      </c>
      <c r="O170" s="19" t="n"/>
    </row>
    <row r="171">
      <c r="A171" s="19" t="n"/>
      <c r="B171" s="20" t="inlineStr">
        <is>
          <t>4503-XH-DL-8631-8631-5023-CWR-03_Rev0</t>
        </is>
      </c>
      <c r="C171" s="21" t="n">
        <v>0</v>
      </c>
      <c r="D171" s="21" t="n">
        <v>46237</v>
      </c>
      <c r="E171" s="20" t="inlineStr">
        <is>
          <t>IFC-ISSUED FOR CONSTRUCTION</t>
        </is>
      </c>
      <c r="F171" s="21" t="n">
        <v>8631</v>
      </c>
      <c r="G171" s="20" t="inlineStr">
        <is>
          <t>PIPE B36.10/36.19 A333 6-SMLS BE BE</t>
        </is>
      </c>
      <c r="H171" s="20" t="inlineStr">
        <is>
          <t>A333</t>
        </is>
      </c>
      <c r="I171" s="22" t="n">
        <v>2</v>
      </c>
      <c r="J171" s="21" t="inlineStr">
        <is>
          <t>XS</t>
        </is>
      </c>
      <c r="K171" s="20" t="inlineStr">
        <is>
          <t>I64108762</t>
        </is>
      </c>
      <c r="L171" s="22" t="n">
        <v>0.6</v>
      </c>
      <c r="M171" s="20">
        <f>IFERROR(LEFT(B171,SEARCH("_Rev",B171)-1),B171)</f>
        <v/>
      </c>
      <c r="N171" s="20">
        <f>IF(B171="","",IF(ISNUMBER(C171),IF(COUNTIFS($M$3:$M$1026,M171,$C$3:$C$1026,"&gt;"&amp;C171)=0,"CURRENT","SUPERSEDED"),"CURRENT"))</f>
        <v/>
      </c>
      <c r="O171" s="19" t="n"/>
    </row>
    <row r="172">
      <c r="A172" s="19" t="n"/>
      <c r="B172" s="20" t="inlineStr">
        <is>
          <t>4503-XH-DL-8631-8631-5023-CWR-04_Rev0</t>
        </is>
      </c>
      <c r="C172" s="21" t="n">
        <v>0</v>
      </c>
      <c r="D172" s="21" t="n">
        <v>46237</v>
      </c>
      <c r="E172" s="20" t="inlineStr">
        <is>
          <t>IFC-ISSUED FOR CONSTRUCTION</t>
        </is>
      </c>
      <c r="F172" s="21" t="n">
        <v>8631</v>
      </c>
      <c r="G172" s="20" t="inlineStr">
        <is>
          <t>PIPE B36.10/36.19 A333 6-SMLS BE BE</t>
        </is>
      </c>
      <c r="H172" s="20" t="inlineStr">
        <is>
          <t>A333</t>
        </is>
      </c>
      <c r="I172" s="22" t="n">
        <v>2</v>
      </c>
      <c r="J172" s="21" t="inlineStr">
        <is>
          <t>XS</t>
        </is>
      </c>
      <c r="K172" s="20" t="inlineStr">
        <is>
          <t>I64108762</t>
        </is>
      </c>
      <c r="L172" s="22" t="n">
        <v>0.1</v>
      </c>
      <c r="M172" s="20">
        <f>IFERROR(LEFT(B172,SEARCH("_Rev",B172)-1),B172)</f>
        <v/>
      </c>
      <c r="N172" s="20">
        <f>IF(B172="","",IF(ISNUMBER(C172),IF(COUNTIFS($M$3:$M$1026,M172,$C$3:$C$1026,"&gt;"&amp;C172)=0,"CURRENT","SUPERSEDED"),"CURRENT"))</f>
        <v/>
      </c>
      <c r="O172" s="19" t="n"/>
    </row>
    <row r="173">
      <c r="A173" s="19" t="n"/>
      <c r="B173" s="20" t="inlineStr">
        <is>
          <t>4503-XH-DL-8631-8631-5023-CWR-05_Rev0</t>
        </is>
      </c>
      <c r="C173" s="21" t="n">
        <v>0</v>
      </c>
      <c r="D173" s="21" t="n">
        <v>46237</v>
      </c>
      <c r="E173" s="20" t="inlineStr">
        <is>
          <t>IFC-ISSUED FOR CONSTRUCTION</t>
        </is>
      </c>
      <c r="F173" s="21" t="n">
        <v>8631</v>
      </c>
      <c r="G173" s="20" t="inlineStr">
        <is>
          <t>PIPE B36.10/36.19 A333 6-SMLS BE BE</t>
        </is>
      </c>
      <c r="H173" s="20" t="inlineStr">
        <is>
          <t>A333</t>
        </is>
      </c>
      <c r="I173" s="22" t="n">
        <v>10</v>
      </c>
      <c r="J173" s="21" t="inlineStr">
        <is>
          <t>STD</t>
        </is>
      </c>
      <c r="K173" s="20" t="inlineStr">
        <is>
          <t>I64108754</t>
        </is>
      </c>
      <c r="L173" s="22" t="n">
        <v>0.2</v>
      </c>
      <c r="M173" s="20">
        <f>IFERROR(LEFT(B173,SEARCH("_Rev",B173)-1),B173)</f>
        <v/>
      </c>
      <c r="N173" s="20">
        <f>IF(B173="","",IF(ISNUMBER(C173),IF(COUNTIFS($M$3:$M$1026,M173,$C$3:$C$1026,"&gt;"&amp;C173)=0,"CURRENT","SUPERSEDED"),"CURRENT"))</f>
        <v/>
      </c>
      <c r="O173" s="19" t="n"/>
    </row>
    <row r="174">
      <c r="A174" s="19" t="n"/>
      <c r="B174" s="20" t="inlineStr">
        <is>
          <t>4503-XH-DL-8631-8631-5024-CWR-01_Rev0</t>
        </is>
      </c>
      <c r="C174" s="21" t="n">
        <v>0</v>
      </c>
      <c r="D174" s="21" t="n">
        <v>46237</v>
      </c>
      <c r="E174" s="20" t="inlineStr">
        <is>
          <t>IFC-ISSUED FOR CONSTRUCTION</t>
        </is>
      </c>
      <c r="F174" s="21" t="n">
        <v>8631</v>
      </c>
      <c r="G174" s="20" t="inlineStr">
        <is>
          <t>PIPE B36.10/36.19 A333 6-SMLS BE BE</t>
        </is>
      </c>
      <c r="H174" s="20" t="inlineStr">
        <is>
          <t>A333</t>
        </is>
      </c>
      <c r="I174" s="22" t="n">
        <v>6</v>
      </c>
      <c r="J174" s="21" t="inlineStr">
        <is>
          <t>STD</t>
        </is>
      </c>
      <c r="K174" s="20" t="inlineStr">
        <is>
          <t>I63649156</t>
        </is>
      </c>
      <c r="L174" s="22" t="n">
        <v>9.800000000000001</v>
      </c>
      <c r="M174" s="20">
        <f>IFERROR(LEFT(B174,SEARCH("_Rev",B174)-1),B174)</f>
        <v/>
      </c>
      <c r="N174" s="20">
        <f>IF(B174="","",IF(ISNUMBER(C174),IF(COUNTIFS($M$3:$M$1026,M174,$C$3:$C$1026,"&gt;"&amp;C174)=0,"CURRENT","SUPERSEDED"),"CURRENT"))</f>
        <v/>
      </c>
      <c r="O174" s="19" t="n"/>
    </row>
    <row r="175">
      <c r="A175" s="19" t="n"/>
      <c r="B175" s="20" t="inlineStr">
        <is>
          <t>4503-XH-DL-8631-8631-5024-CWR-01_Rev0</t>
        </is>
      </c>
      <c r="C175" s="21" t="n">
        <v>0</v>
      </c>
      <c r="D175" s="21" t="n">
        <v>46237</v>
      </c>
      <c r="E175" s="20" t="inlineStr">
        <is>
          <t>IFC-ISSUED FOR CONSTRUCTION</t>
        </is>
      </c>
      <c r="F175" s="21" t="n">
        <v>8631</v>
      </c>
      <c r="G175" s="20" t="inlineStr">
        <is>
          <t>PIPE B36.10/36.19 A333 6-SMLS BE BE</t>
        </is>
      </c>
      <c r="H175" s="20" t="inlineStr">
        <is>
          <t>A333</t>
        </is>
      </c>
      <c r="I175" s="22" t="n">
        <v>2</v>
      </c>
      <c r="J175" s="21" t="inlineStr">
        <is>
          <t>XS</t>
        </is>
      </c>
      <c r="K175" s="20" t="inlineStr">
        <is>
          <t>I64108762</t>
        </is>
      </c>
      <c r="L175" s="22" t="n">
        <v>1.1</v>
      </c>
      <c r="M175" s="20">
        <f>IFERROR(LEFT(B175,SEARCH("_Rev",B175)-1),B175)</f>
        <v/>
      </c>
      <c r="N175" s="20">
        <f>IF(B175="","",IF(ISNUMBER(C175),IF(COUNTIFS($M$3:$M$1026,M175,$C$3:$C$1026,"&gt;"&amp;C175)=0,"CURRENT","SUPERSEDED"),"CURRENT"))</f>
        <v/>
      </c>
      <c r="O175" s="19" t="n"/>
    </row>
    <row r="176">
      <c r="A176" s="19" t="n"/>
      <c r="B176" s="20" t="inlineStr">
        <is>
          <t>4503-XH-DL-8631-8631-5024-CWR-02_Rev0</t>
        </is>
      </c>
      <c r="C176" s="21" t="n">
        <v>0</v>
      </c>
      <c r="D176" s="21" t="n">
        <v>46237</v>
      </c>
      <c r="E176" s="20" t="inlineStr">
        <is>
          <t>IFC-ISSUED FOR CONSTRUCTION</t>
        </is>
      </c>
      <c r="F176" s="21" t="n">
        <v>8631</v>
      </c>
      <c r="G176" s="20" t="inlineStr">
        <is>
          <t>PIPE B36.10/36.19 A333 6-SMLS BE BE</t>
        </is>
      </c>
      <c r="H176" s="20" t="inlineStr">
        <is>
          <t>A333</t>
        </is>
      </c>
      <c r="I176" s="22" t="n">
        <v>2</v>
      </c>
      <c r="J176" s="21" t="inlineStr">
        <is>
          <t>XS</t>
        </is>
      </c>
      <c r="K176" s="20" t="inlineStr">
        <is>
          <t>I64108762</t>
        </is>
      </c>
      <c r="L176" s="22" t="n">
        <v>2.5</v>
      </c>
      <c r="M176" s="20">
        <f>IFERROR(LEFT(B176,SEARCH("_Rev",B176)-1),B176)</f>
        <v/>
      </c>
      <c r="N176" s="20">
        <f>IF(B176="","",IF(ISNUMBER(C176),IF(COUNTIFS($M$3:$M$1026,M176,$C$3:$C$1026,"&gt;"&amp;C176)=0,"CURRENT","SUPERSEDED"),"CURRENT"))</f>
        <v/>
      </c>
      <c r="O176" s="19" t="n"/>
    </row>
    <row r="177">
      <c r="A177" s="19" t="n"/>
      <c r="B177" s="20" t="inlineStr">
        <is>
          <t>4503-XH-DL-8631-8631-5025-CWR-01_Rev0</t>
        </is>
      </c>
      <c r="C177" s="21" t="n">
        <v>0</v>
      </c>
      <c r="D177" s="21" t="n">
        <v>46237</v>
      </c>
      <c r="E177" s="20" t="inlineStr">
        <is>
          <t>IFC-ISSUED FOR CONSTRUCTION</t>
        </is>
      </c>
      <c r="F177" s="21" t="n">
        <v>8631</v>
      </c>
      <c r="G177" s="20" t="inlineStr">
        <is>
          <t>PIPE B36.10/36.19 A671 CC60 CL.22 S2 BE BE</t>
        </is>
      </c>
      <c r="H177" s="20" t="inlineStr">
        <is>
          <t>A671</t>
        </is>
      </c>
      <c r="I177" s="22" t="n">
        <v>28</v>
      </c>
      <c r="J177" s="21" t="inlineStr">
        <is>
          <t>XS</t>
        </is>
      </c>
      <c r="K177" s="20" t="inlineStr">
        <is>
          <t>I65622127</t>
        </is>
      </c>
      <c r="L177" s="22" t="n">
        <v>3.6</v>
      </c>
      <c r="M177" s="20">
        <f>IFERROR(LEFT(B177,SEARCH("_Rev",B177)-1),B177)</f>
        <v/>
      </c>
      <c r="N177" s="20">
        <f>IF(B177="","",IF(ISNUMBER(C177),IF(COUNTIFS($M$3:$M$1026,M177,$C$3:$C$1026,"&gt;"&amp;C177)=0,"CURRENT","SUPERSEDED"),"CURRENT"))</f>
        <v/>
      </c>
      <c r="O177" s="19" t="n"/>
    </row>
    <row r="178">
      <c r="A178" s="19" t="n"/>
      <c r="B178" s="20" t="inlineStr">
        <is>
          <t>4503-XH-DL-8631-8631-5026-CWR-01_Rev0</t>
        </is>
      </c>
      <c r="C178" s="21" t="n">
        <v>0</v>
      </c>
      <c r="D178" s="21" t="n">
        <v>46237</v>
      </c>
      <c r="E178" s="20" t="inlineStr">
        <is>
          <t>IFC-ISSUED FOR CONSTRUCTION</t>
        </is>
      </c>
      <c r="F178" s="21" t="n">
        <v>8631</v>
      </c>
      <c r="G178" s="20" t="inlineStr">
        <is>
          <t>PIPE B36.10/36.19 A671 CC60 CL.22 S2 BE BE</t>
        </is>
      </c>
      <c r="H178" s="20" t="inlineStr">
        <is>
          <t>A671</t>
        </is>
      </c>
      <c r="I178" s="22" t="n">
        <v>32</v>
      </c>
      <c r="J178" s="21" t="inlineStr">
        <is>
          <t>XS</t>
        </is>
      </c>
      <c r="K178" s="20" t="inlineStr">
        <is>
          <t>I65622125</t>
        </is>
      </c>
      <c r="L178" s="22" t="n">
        <v>17.9</v>
      </c>
      <c r="M178" s="20">
        <f>IFERROR(LEFT(B178,SEARCH("_Rev",B178)-1),B178)</f>
        <v/>
      </c>
      <c r="N178" s="20">
        <f>IF(B178="","",IF(ISNUMBER(C178),IF(COUNTIFS($M$3:$M$1026,M178,$C$3:$C$1026,"&gt;"&amp;C178)=0,"CURRENT","SUPERSEDED"),"CURRENT"))</f>
        <v/>
      </c>
      <c r="O178" s="19" t="n"/>
    </row>
    <row r="179">
      <c r="A179" s="19" t="n"/>
      <c r="B179" s="20" t="inlineStr">
        <is>
          <t>4503-XH-DL-8631-8631-5026-CWR-03_Rev0</t>
        </is>
      </c>
      <c r="C179" s="21" t="n">
        <v>0</v>
      </c>
      <c r="D179" s="21" t="n">
        <v>46237</v>
      </c>
      <c r="E179" s="20" t="inlineStr">
        <is>
          <t>IFC-ISSUED FOR CONSTRUCTION</t>
        </is>
      </c>
      <c r="F179" s="21" t="n">
        <v>8631</v>
      </c>
      <c r="G179" s="20" t="inlineStr">
        <is>
          <t>PIPE B36.10/36.19 A333 6-SMLS BE BE</t>
        </is>
      </c>
      <c r="H179" s="20" t="inlineStr">
        <is>
          <t>A333</t>
        </is>
      </c>
      <c r="I179" s="22" t="n">
        <v>2</v>
      </c>
      <c r="J179" s="21" t="inlineStr">
        <is>
          <t>XS</t>
        </is>
      </c>
      <c r="K179" s="20" t="inlineStr">
        <is>
          <t>I64108762</t>
        </is>
      </c>
      <c r="L179" s="22" t="n">
        <v>0.6</v>
      </c>
      <c r="M179" s="20">
        <f>IFERROR(LEFT(B179,SEARCH("_Rev",B179)-1),B179)</f>
        <v/>
      </c>
      <c r="N179" s="20">
        <f>IF(B179="","",IF(ISNUMBER(C179),IF(COUNTIFS($M$3:$M$1026,M179,$C$3:$C$1026,"&gt;"&amp;C179)=0,"CURRENT","SUPERSEDED"),"CURRENT"))</f>
        <v/>
      </c>
      <c r="O179" s="19" t="n"/>
    </row>
    <row r="180">
      <c r="A180" s="19" t="n"/>
      <c r="B180" s="20" t="inlineStr">
        <is>
          <t>4503-XH-DL-8631-8631-5026-CWR-04_Rev0</t>
        </is>
      </c>
      <c r="C180" s="21" t="n">
        <v>0</v>
      </c>
      <c r="D180" s="21" t="n">
        <v>46237</v>
      </c>
      <c r="E180" s="20" t="inlineStr">
        <is>
          <t>IFC-ISSUED FOR CONSTRUCTION</t>
        </is>
      </c>
      <c r="F180" s="21" t="n">
        <v>8631</v>
      </c>
      <c r="G180" s="20" t="inlineStr">
        <is>
          <t>PIPE B36.10/36.19 A333 6-SMLS BE BE</t>
        </is>
      </c>
      <c r="H180" s="20" t="inlineStr">
        <is>
          <t>A333</t>
        </is>
      </c>
      <c r="I180" s="22" t="n">
        <v>2</v>
      </c>
      <c r="J180" s="21" t="inlineStr">
        <is>
          <t>XS</t>
        </is>
      </c>
      <c r="K180" s="20" t="inlineStr">
        <is>
          <t>I64108762</t>
        </is>
      </c>
      <c r="L180" s="22" t="n">
        <v>0.1</v>
      </c>
      <c r="M180" s="20">
        <f>IFERROR(LEFT(B180,SEARCH("_Rev",B180)-1),B180)</f>
        <v/>
      </c>
      <c r="N180" s="20">
        <f>IF(B180="","",IF(ISNUMBER(C180),IF(COUNTIFS($M$3:$M$1026,M180,$C$3:$C$1026,"&gt;"&amp;C180)=0,"CURRENT","SUPERSEDED"),"CURRENT"))</f>
        <v/>
      </c>
      <c r="O180" s="19" t="n"/>
    </row>
    <row r="181">
      <c r="A181" s="19" t="n"/>
      <c r="B181" s="20" t="inlineStr">
        <is>
          <t>4503-XH-DL-8631-8631-5026-CWR-05_Rev0</t>
        </is>
      </c>
      <c r="C181" s="21" t="n">
        <v>0</v>
      </c>
      <c r="D181" s="21" t="n">
        <v>46237</v>
      </c>
      <c r="E181" s="20" t="inlineStr">
        <is>
          <t>IFC-ISSUED FOR CONSTRUCTION</t>
        </is>
      </c>
      <c r="F181" s="21" t="n">
        <v>8631</v>
      </c>
      <c r="G181" s="20" t="inlineStr">
        <is>
          <t>PIPE B36.10/36.19 A333 6-SMLS BE BE</t>
        </is>
      </c>
      <c r="H181" s="20" t="inlineStr">
        <is>
          <t>A333</t>
        </is>
      </c>
      <c r="I181" s="22" t="n">
        <v>10</v>
      </c>
      <c r="J181" s="21" t="inlineStr">
        <is>
          <t>STD</t>
        </is>
      </c>
      <c r="K181" s="20" t="inlineStr">
        <is>
          <t>I64108754</t>
        </is>
      </c>
      <c r="L181" s="22" t="n">
        <v>0.2</v>
      </c>
      <c r="M181" s="20">
        <f>IFERROR(LEFT(B181,SEARCH("_Rev",B181)-1),B181)</f>
        <v/>
      </c>
      <c r="N181" s="20">
        <f>IF(B181="","",IF(ISNUMBER(C181),IF(COUNTIFS($M$3:$M$1026,M181,$C$3:$C$1026,"&gt;"&amp;C181)=0,"CURRENT","SUPERSEDED"),"CURRENT"))</f>
        <v/>
      </c>
      <c r="O181" s="19" t="n"/>
    </row>
    <row r="182">
      <c r="A182" s="19" t="n"/>
      <c r="B182" s="20" t="inlineStr">
        <is>
          <t>4503-XH-DL-8631-8631-5027-CWR-01_Rev0</t>
        </is>
      </c>
      <c r="C182" s="21" t="n">
        <v>0</v>
      </c>
      <c r="D182" s="21" t="n">
        <v>46237</v>
      </c>
      <c r="E182" s="20" t="inlineStr">
        <is>
          <t>IFC-ISSUED FOR CONSTRUCTION</t>
        </is>
      </c>
      <c r="F182" s="21" t="n">
        <v>8631</v>
      </c>
      <c r="G182" s="20" t="inlineStr">
        <is>
          <t>PIPE B36.10/36.19 A671 CC60 CL.22 S2 BE BE</t>
        </is>
      </c>
      <c r="H182" s="20" t="inlineStr">
        <is>
          <t>A671</t>
        </is>
      </c>
      <c r="I182" s="22" t="n">
        <v>32</v>
      </c>
      <c r="J182" s="21" t="inlineStr">
        <is>
          <t>XS</t>
        </is>
      </c>
      <c r="K182" s="20" t="inlineStr">
        <is>
          <t>I65622125</t>
        </is>
      </c>
      <c r="L182" s="22" t="n">
        <v>17.9</v>
      </c>
      <c r="M182" s="20">
        <f>IFERROR(LEFT(B182,SEARCH("_Rev",B182)-1),B182)</f>
        <v/>
      </c>
      <c r="N182" s="20">
        <f>IF(B182="","",IF(ISNUMBER(C182),IF(COUNTIFS($M$3:$M$1026,M182,$C$3:$C$1026,"&gt;"&amp;C182)=0,"CURRENT","SUPERSEDED"),"CURRENT"))</f>
        <v/>
      </c>
      <c r="O182" s="19" t="n"/>
    </row>
    <row r="183">
      <c r="A183" s="19" t="n"/>
      <c r="B183" s="20" t="inlineStr">
        <is>
          <t>4503-XH-DL-8631-8631-5027-CWR-03_Rev0</t>
        </is>
      </c>
      <c r="C183" s="21" t="n">
        <v>0</v>
      </c>
      <c r="D183" s="21" t="n">
        <v>46237</v>
      </c>
      <c r="E183" s="20" t="inlineStr">
        <is>
          <t>IFC-ISSUED FOR CONSTRUCTION</t>
        </is>
      </c>
      <c r="F183" s="21" t="n">
        <v>8631</v>
      </c>
      <c r="G183" s="20" t="inlineStr">
        <is>
          <t>PIPE B36.10/36.19 A333 6-SMLS BE BE</t>
        </is>
      </c>
      <c r="H183" s="20" t="inlineStr">
        <is>
          <t>A333</t>
        </is>
      </c>
      <c r="I183" s="22" t="n">
        <v>2</v>
      </c>
      <c r="J183" s="21" t="inlineStr">
        <is>
          <t>XS</t>
        </is>
      </c>
      <c r="K183" s="20" t="inlineStr">
        <is>
          <t>I64108762</t>
        </is>
      </c>
      <c r="L183" s="22" t="n">
        <v>0.6</v>
      </c>
      <c r="M183" s="20">
        <f>IFERROR(LEFT(B183,SEARCH("_Rev",B183)-1),B183)</f>
        <v/>
      </c>
      <c r="N183" s="20">
        <f>IF(B183="","",IF(ISNUMBER(C183),IF(COUNTIFS($M$3:$M$1026,M183,$C$3:$C$1026,"&gt;"&amp;C183)=0,"CURRENT","SUPERSEDED"),"CURRENT"))</f>
        <v/>
      </c>
      <c r="O183" s="19" t="n"/>
    </row>
    <row r="184">
      <c r="A184" s="19" t="n"/>
      <c r="B184" s="20" t="inlineStr">
        <is>
          <t>4503-XH-DL-8631-8631-5027-CWR-04_Rev0</t>
        </is>
      </c>
      <c r="C184" s="21" t="n">
        <v>0</v>
      </c>
      <c r="D184" s="21" t="n">
        <v>46237</v>
      </c>
      <c r="E184" s="20" t="inlineStr">
        <is>
          <t>IFC-ISSUED FOR CONSTRUCTION</t>
        </is>
      </c>
      <c r="F184" s="21" t="n">
        <v>8631</v>
      </c>
      <c r="G184" s="20" t="inlineStr">
        <is>
          <t>PIPE B36.10/36.19 A333 6-SMLS BE BE</t>
        </is>
      </c>
      <c r="H184" s="20" t="inlineStr">
        <is>
          <t>A333</t>
        </is>
      </c>
      <c r="I184" s="22" t="n">
        <v>2</v>
      </c>
      <c r="J184" s="21" t="inlineStr">
        <is>
          <t>XS</t>
        </is>
      </c>
      <c r="K184" s="20" t="inlineStr">
        <is>
          <t>I64108762</t>
        </is>
      </c>
      <c r="L184" s="22" t="n">
        <v>0.1</v>
      </c>
      <c r="M184" s="20">
        <f>IFERROR(LEFT(B184,SEARCH("_Rev",B184)-1),B184)</f>
        <v/>
      </c>
      <c r="N184" s="20">
        <f>IF(B184="","",IF(ISNUMBER(C184),IF(COUNTIFS($M$3:$M$1026,M184,$C$3:$C$1026,"&gt;"&amp;C184)=0,"CURRENT","SUPERSEDED"),"CURRENT"))</f>
        <v/>
      </c>
      <c r="O184" s="19" t="n"/>
    </row>
    <row r="185">
      <c r="A185" s="19" t="n"/>
      <c r="B185" s="20" t="inlineStr">
        <is>
          <t>4503-XH-DL-8631-8631-5027-CWR-05_Rev0</t>
        </is>
      </c>
      <c r="C185" s="21" t="n">
        <v>0</v>
      </c>
      <c r="D185" s="21" t="n">
        <v>46237</v>
      </c>
      <c r="E185" s="20" t="inlineStr">
        <is>
          <t>IFC-ISSUED FOR CONSTRUCTION</t>
        </is>
      </c>
      <c r="F185" s="21" t="n">
        <v>8631</v>
      </c>
      <c r="G185" s="20" t="inlineStr">
        <is>
          <t>PIPE B36.10/36.19 A333 6-SMLS BE BE</t>
        </is>
      </c>
      <c r="H185" s="20" t="inlineStr">
        <is>
          <t>A333</t>
        </is>
      </c>
      <c r="I185" s="22" t="n">
        <v>10</v>
      </c>
      <c r="J185" s="21" t="inlineStr">
        <is>
          <t>STD</t>
        </is>
      </c>
      <c r="K185" s="20" t="inlineStr">
        <is>
          <t>I64108754</t>
        </is>
      </c>
      <c r="L185" s="22" t="n">
        <v>0.2</v>
      </c>
      <c r="M185" s="20">
        <f>IFERROR(LEFT(B185,SEARCH("_Rev",B185)-1),B185)</f>
        <v/>
      </c>
      <c r="N185" s="20">
        <f>IF(B185="","",IF(ISNUMBER(C185),IF(COUNTIFS($M$3:$M$1026,M185,$C$3:$C$1026,"&gt;"&amp;C185)=0,"CURRENT","SUPERSEDED"),"CURRENT"))</f>
        <v/>
      </c>
      <c r="O185" s="19" t="n"/>
    </row>
    <row r="186">
      <c r="A186" s="19" t="n"/>
      <c r="B186" s="20" t="inlineStr">
        <is>
          <t>4503-XH-DL-8631-8631-5028-CWR-01_Rev0</t>
        </is>
      </c>
      <c r="C186" s="21" t="n">
        <v>0</v>
      </c>
      <c r="D186" s="21" t="n">
        <v>46237</v>
      </c>
      <c r="E186" s="20" t="inlineStr">
        <is>
          <t>IFC-ISSUED FOR CONSTRUCTION</t>
        </is>
      </c>
      <c r="F186" s="21" t="n">
        <v>8631</v>
      </c>
      <c r="G186" s="20" t="inlineStr">
        <is>
          <t>PIPE B36.10/36.19 A333 6-SMLS BE BE</t>
        </is>
      </c>
      <c r="H186" s="20" t="inlineStr">
        <is>
          <t>A333</t>
        </is>
      </c>
      <c r="I186" s="22" t="n">
        <v>6</v>
      </c>
      <c r="J186" s="21" t="inlineStr">
        <is>
          <t>STD</t>
        </is>
      </c>
      <c r="K186" s="20" t="inlineStr">
        <is>
          <t>I63649156</t>
        </is>
      </c>
      <c r="L186" s="22" t="n">
        <v>9.800000000000001</v>
      </c>
      <c r="M186" s="20">
        <f>IFERROR(LEFT(B186,SEARCH("_Rev",B186)-1),B186)</f>
        <v/>
      </c>
      <c r="N186" s="20">
        <f>IF(B186="","",IF(ISNUMBER(C186),IF(COUNTIFS($M$3:$M$1026,M186,$C$3:$C$1026,"&gt;"&amp;C186)=0,"CURRENT","SUPERSEDED"),"CURRENT"))</f>
        <v/>
      </c>
      <c r="O186" s="19" t="n"/>
    </row>
    <row r="187">
      <c r="A187" s="19" t="n"/>
      <c r="B187" s="20" t="inlineStr">
        <is>
          <t>4503-XH-DL-8631-8631-5028-CWR-01_Rev0</t>
        </is>
      </c>
      <c r="C187" s="21" t="n">
        <v>0</v>
      </c>
      <c r="D187" s="21" t="n">
        <v>46237</v>
      </c>
      <c r="E187" s="20" t="inlineStr">
        <is>
          <t>IFC-ISSUED FOR CONSTRUCTION</t>
        </is>
      </c>
      <c r="F187" s="21" t="n">
        <v>8631</v>
      </c>
      <c r="G187" s="20" t="inlineStr">
        <is>
          <t>PIPE B36.10/36.19 A333 6-SMLS BE BE</t>
        </is>
      </c>
      <c r="H187" s="20" t="inlineStr">
        <is>
          <t>A333</t>
        </is>
      </c>
      <c r="I187" s="22" t="n">
        <v>2</v>
      </c>
      <c r="J187" s="21" t="inlineStr">
        <is>
          <t>XS</t>
        </is>
      </c>
      <c r="K187" s="20" t="inlineStr">
        <is>
          <t>I64108762</t>
        </is>
      </c>
      <c r="L187" s="22" t="n">
        <v>1.1</v>
      </c>
      <c r="M187" s="20">
        <f>IFERROR(LEFT(B187,SEARCH("_Rev",B187)-1),B187)</f>
        <v/>
      </c>
      <c r="N187" s="20">
        <f>IF(B187="","",IF(ISNUMBER(C187),IF(COUNTIFS($M$3:$M$1026,M187,$C$3:$C$1026,"&gt;"&amp;C187)=0,"CURRENT","SUPERSEDED"),"CURRENT"))</f>
        <v/>
      </c>
      <c r="O187" s="19" t="n"/>
    </row>
    <row r="188">
      <c r="A188" s="19" t="n"/>
      <c r="B188" s="20" t="inlineStr">
        <is>
          <t>4503-XH-DL-8631-8631-5028-CWR-02_Rev0</t>
        </is>
      </c>
      <c r="C188" s="21" t="n">
        <v>0</v>
      </c>
      <c r="D188" s="21" t="n">
        <v>46237</v>
      </c>
      <c r="E188" s="20" t="inlineStr">
        <is>
          <t>IFC-ISSUED FOR CONSTRUCTION</t>
        </is>
      </c>
      <c r="F188" s="21" t="n">
        <v>8631</v>
      </c>
      <c r="G188" s="20" t="inlineStr">
        <is>
          <t>PIPE B36.10/36.19 A333 6-SMLS BE BE</t>
        </is>
      </c>
      <c r="H188" s="20" t="inlineStr">
        <is>
          <t>A333</t>
        </is>
      </c>
      <c r="I188" s="22" t="n">
        <v>2</v>
      </c>
      <c r="J188" s="21" t="inlineStr">
        <is>
          <t>XS</t>
        </is>
      </c>
      <c r="K188" s="20" t="inlineStr">
        <is>
          <t>I64108762</t>
        </is>
      </c>
      <c r="L188" s="22" t="n">
        <v>2.5</v>
      </c>
      <c r="M188" s="20">
        <f>IFERROR(LEFT(B188,SEARCH("_Rev",B188)-1),B188)</f>
        <v/>
      </c>
      <c r="N188" s="20">
        <f>IF(B188="","",IF(ISNUMBER(C188),IF(COUNTIFS($M$3:$M$1026,M188,$C$3:$C$1026,"&gt;"&amp;C188)=0,"CURRENT","SUPERSEDED"),"CURRENT"))</f>
        <v/>
      </c>
      <c r="O188" s="19" t="n"/>
    </row>
    <row r="189">
      <c r="A189" s="19" t="n"/>
      <c r="B189" s="20" t="inlineStr">
        <is>
          <t>4503-XH-DL-8631-8631-5029-CWR-01_Rev0</t>
        </is>
      </c>
      <c r="C189" s="21" t="n">
        <v>0</v>
      </c>
      <c r="D189" s="21" t="n">
        <v>46237</v>
      </c>
      <c r="E189" s="20" t="inlineStr">
        <is>
          <t>IFC-ISSUED FOR CONSTRUCTION</t>
        </is>
      </c>
      <c r="F189" s="21" t="n">
        <v>8631</v>
      </c>
      <c r="G189" s="20" t="inlineStr">
        <is>
          <t>PIPE B36.10/36.19 A671 CC60 CL.22 S2 BE BE</t>
        </is>
      </c>
      <c r="H189" s="20" t="inlineStr">
        <is>
          <t>A671</t>
        </is>
      </c>
      <c r="I189" s="22" t="n">
        <v>32</v>
      </c>
      <c r="J189" s="21" t="inlineStr">
        <is>
          <t>XS</t>
        </is>
      </c>
      <c r="K189" s="20" t="inlineStr">
        <is>
          <t>I65622125</t>
        </is>
      </c>
      <c r="L189" s="22" t="n">
        <v>17.9</v>
      </c>
      <c r="M189" s="20">
        <f>IFERROR(LEFT(B189,SEARCH("_Rev",B189)-1),B189)</f>
        <v/>
      </c>
      <c r="N189" s="20">
        <f>IF(B189="","",IF(ISNUMBER(C189),IF(COUNTIFS($M$3:$M$1026,M189,$C$3:$C$1026,"&gt;"&amp;C189)=0,"CURRENT","SUPERSEDED"),"CURRENT"))</f>
        <v/>
      </c>
      <c r="O189" s="19" t="n"/>
    </row>
    <row r="190">
      <c r="A190" s="19" t="n"/>
      <c r="B190" s="20" t="inlineStr">
        <is>
          <t>4503-XH-DL-8631-8631-5029-CWR-03_Rev0</t>
        </is>
      </c>
      <c r="C190" s="21" t="n">
        <v>0</v>
      </c>
      <c r="D190" s="21" t="n">
        <v>46237</v>
      </c>
      <c r="E190" s="20" t="inlineStr">
        <is>
          <t>IFC-ISSUED FOR CONSTRUCTION</t>
        </is>
      </c>
      <c r="F190" s="21" t="n">
        <v>8631</v>
      </c>
      <c r="G190" s="20" t="inlineStr">
        <is>
          <t>PIPE B36.10/36.19 A333 6-SMLS BE BE</t>
        </is>
      </c>
      <c r="H190" s="20" t="inlineStr">
        <is>
          <t>A333</t>
        </is>
      </c>
      <c r="I190" s="22" t="n">
        <v>2</v>
      </c>
      <c r="J190" s="21" t="inlineStr">
        <is>
          <t>XS</t>
        </is>
      </c>
      <c r="K190" s="20" t="inlineStr">
        <is>
          <t>I64108762</t>
        </is>
      </c>
      <c r="L190" s="22" t="n">
        <v>0.6</v>
      </c>
      <c r="M190" s="20">
        <f>IFERROR(LEFT(B190,SEARCH("_Rev",B190)-1),B190)</f>
        <v/>
      </c>
      <c r="N190" s="20">
        <f>IF(B190="","",IF(ISNUMBER(C190),IF(COUNTIFS($M$3:$M$1026,M190,$C$3:$C$1026,"&gt;"&amp;C190)=0,"CURRENT","SUPERSEDED"),"CURRENT"))</f>
        <v/>
      </c>
      <c r="O190" s="19" t="n"/>
    </row>
    <row r="191">
      <c r="A191" s="19" t="n"/>
      <c r="B191" s="20" t="inlineStr">
        <is>
          <t>4503-XH-DL-8631-8631-5029-CWR-04_Rev0</t>
        </is>
      </c>
      <c r="C191" s="21" t="n">
        <v>0</v>
      </c>
      <c r="D191" s="21" t="n">
        <v>46237</v>
      </c>
      <c r="E191" s="20" t="inlineStr">
        <is>
          <t>IFC-ISSUED FOR CONSTRUCTION</t>
        </is>
      </c>
      <c r="F191" s="21" t="n">
        <v>8631</v>
      </c>
      <c r="G191" s="20" t="inlineStr">
        <is>
          <t>PIPE B36.10/36.19 A333 6-SMLS BE BE</t>
        </is>
      </c>
      <c r="H191" s="20" t="inlineStr">
        <is>
          <t>A333</t>
        </is>
      </c>
      <c r="I191" s="22" t="n">
        <v>2</v>
      </c>
      <c r="J191" s="21" t="inlineStr">
        <is>
          <t>XS</t>
        </is>
      </c>
      <c r="K191" s="20" t="inlineStr">
        <is>
          <t>I64108762</t>
        </is>
      </c>
      <c r="L191" s="22" t="n">
        <v>0.1</v>
      </c>
      <c r="M191" s="20">
        <f>IFERROR(LEFT(B191,SEARCH("_Rev",B191)-1),B191)</f>
        <v/>
      </c>
      <c r="N191" s="20">
        <f>IF(B191="","",IF(ISNUMBER(C191),IF(COUNTIFS($M$3:$M$1026,M191,$C$3:$C$1026,"&gt;"&amp;C191)=0,"CURRENT","SUPERSEDED"),"CURRENT"))</f>
        <v/>
      </c>
      <c r="O191" s="19" t="n"/>
    </row>
    <row r="192">
      <c r="A192" s="19" t="n"/>
      <c r="B192" s="20" t="inlineStr">
        <is>
          <t>4503-XH-DL-8631-8631-5029-CWR-05_Rev0</t>
        </is>
      </c>
      <c r="C192" s="21" t="n">
        <v>0</v>
      </c>
      <c r="D192" s="21" t="n">
        <v>46237</v>
      </c>
      <c r="E192" s="20" t="inlineStr">
        <is>
          <t>IFC-ISSUED FOR CONSTRUCTION</t>
        </is>
      </c>
      <c r="F192" s="21" t="n">
        <v>8631</v>
      </c>
      <c r="G192" s="20" t="inlineStr">
        <is>
          <t>PIPE B36.10/36.19 A333 6-SMLS BE BE</t>
        </is>
      </c>
      <c r="H192" s="20" t="inlineStr">
        <is>
          <t>A333</t>
        </is>
      </c>
      <c r="I192" s="22" t="n">
        <v>10</v>
      </c>
      <c r="J192" s="21" t="inlineStr">
        <is>
          <t>STD</t>
        </is>
      </c>
      <c r="K192" s="20" t="inlineStr">
        <is>
          <t>I64108754</t>
        </is>
      </c>
      <c r="L192" s="22" t="n">
        <v>0.2</v>
      </c>
      <c r="M192" s="20">
        <f>IFERROR(LEFT(B192,SEARCH("_Rev",B192)-1),B192)</f>
        <v/>
      </c>
      <c r="N192" s="20">
        <f>IF(B192="","",IF(ISNUMBER(C192),IF(COUNTIFS($M$3:$M$1026,M192,$C$3:$C$1026,"&gt;"&amp;C192)=0,"CURRENT","SUPERSEDED"),"CURRENT"))</f>
        <v/>
      </c>
      <c r="O192" s="19" t="n"/>
    </row>
    <row r="193">
      <c r="A193" s="19" t="n"/>
      <c r="B193" s="20" t="inlineStr">
        <is>
          <t>4503-XH-DL-8631-8631-5030-CWR-01_Rev0</t>
        </is>
      </c>
      <c r="C193" s="21" t="n">
        <v>0</v>
      </c>
      <c r="D193" s="21" t="n">
        <v>46237</v>
      </c>
      <c r="E193" s="20" t="inlineStr">
        <is>
          <t>IFC-ISSUED FOR CONSTRUCTION</t>
        </is>
      </c>
      <c r="F193" s="21" t="n">
        <v>8631</v>
      </c>
      <c r="G193" s="20" t="inlineStr">
        <is>
          <t>PIPE B36.10/36.19 A333 6-SMLS BE BE</t>
        </is>
      </c>
      <c r="H193" s="20" t="inlineStr">
        <is>
          <t>A333</t>
        </is>
      </c>
      <c r="I193" s="22" t="n">
        <v>6</v>
      </c>
      <c r="J193" s="21" t="inlineStr">
        <is>
          <t>STD</t>
        </is>
      </c>
      <c r="K193" s="20" t="inlineStr">
        <is>
          <t>I63649156</t>
        </is>
      </c>
      <c r="L193" s="22" t="n">
        <v>9.800000000000001</v>
      </c>
      <c r="M193" s="20">
        <f>IFERROR(LEFT(B193,SEARCH("_Rev",B193)-1),B193)</f>
        <v/>
      </c>
      <c r="N193" s="20">
        <f>IF(B193="","",IF(ISNUMBER(C193),IF(COUNTIFS($M$3:$M$1026,M193,$C$3:$C$1026,"&gt;"&amp;C193)=0,"CURRENT","SUPERSEDED"),"CURRENT"))</f>
        <v/>
      </c>
      <c r="O193" s="19" t="n"/>
    </row>
    <row r="194">
      <c r="A194" s="19" t="n"/>
      <c r="B194" s="20" t="inlineStr">
        <is>
          <t>4503-XH-DL-8631-8631-5030-CWR-01_Rev0</t>
        </is>
      </c>
      <c r="C194" s="21" t="n">
        <v>0</v>
      </c>
      <c r="D194" s="21" t="n">
        <v>46237</v>
      </c>
      <c r="E194" s="20" t="inlineStr">
        <is>
          <t>IFC-ISSUED FOR CONSTRUCTION</t>
        </is>
      </c>
      <c r="F194" s="21" t="n">
        <v>8631</v>
      </c>
      <c r="G194" s="20" t="inlineStr">
        <is>
          <t>PIPE B36.10/36.19 A333 6-SMLS BE BE</t>
        </is>
      </c>
      <c r="H194" s="20" t="inlineStr">
        <is>
          <t>A333</t>
        </is>
      </c>
      <c r="I194" s="22" t="n">
        <v>2</v>
      </c>
      <c r="J194" s="21" t="inlineStr">
        <is>
          <t>XS</t>
        </is>
      </c>
      <c r="K194" s="20" t="inlineStr">
        <is>
          <t>I64108762</t>
        </is>
      </c>
      <c r="L194" s="22" t="n">
        <v>1.1</v>
      </c>
      <c r="M194" s="20">
        <f>IFERROR(LEFT(B194,SEARCH("_Rev",B194)-1),B194)</f>
        <v/>
      </c>
      <c r="N194" s="20">
        <f>IF(B194="","",IF(ISNUMBER(C194),IF(COUNTIFS($M$3:$M$1026,M194,$C$3:$C$1026,"&gt;"&amp;C194)=0,"CURRENT","SUPERSEDED"),"CURRENT"))</f>
        <v/>
      </c>
      <c r="O194" s="19" t="n"/>
    </row>
    <row r="195">
      <c r="A195" s="19" t="n"/>
      <c r="B195" s="20" t="inlineStr">
        <is>
          <t>4503-XH-DL-8631-8631-5030-CWR-02_Rev0</t>
        </is>
      </c>
      <c r="C195" s="21" t="n">
        <v>0</v>
      </c>
      <c r="D195" s="21" t="n">
        <v>46237</v>
      </c>
      <c r="E195" s="20" t="inlineStr">
        <is>
          <t>IFC-ISSUED FOR CONSTRUCTION</t>
        </is>
      </c>
      <c r="F195" s="21" t="n">
        <v>8631</v>
      </c>
      <c r="G195" s="20" t="inlineStr">
        <is>
          <t>PIPE B36.10/36.19 A333 6-SMLS BE BE</t>
        </is>
      </c>
      <c r="H195" s="20" t="inlineStr">
        <is>
          <t>A333</t>
        </is>
      </c>
      <c r="I195" s="22" t="n">
        <v>2</v>
      </c>
      <c r="J195" s="21" t="inlineStr">
        <is>
          <t>XS</t>
        </is>
      </c>
      <c r="K195" s="20" t="inlineStr">
        <is>
          <t>I64108762</t>
        </is>
      </c>
      <c r="L195" s="22" t="n">
        <v>2.5</v>
      </c>
      <c r="M195" s="20">
        <f>IFERROR(LEFT(B195,SEARCH("_Rev",B195)-1),B195)</f>
        <v/>
      </c>
      <c r="N195" s="20">
        <f>IF(B195="","",IF(ISNUMBER(C195),IF(COUNTIFS($M$3:$M$1026,M195,$C$3:$C$1026,"&gt;"&amp;C195)=0,"CURRENT","SUPERSEDED"),"CURRENT"))</f>
        <v/>
      </c>
      <c r="O195" s="19" t="n"/>
    </row>
    <row r="196">
      <c r="A196" s="19" t="n"/>
      <c r="B196" s="20" t="inlineStr">
        <is>
          <t>4503-XH-DL-8631-8631-5031-CWR-01_Rev0</t>
        </is>
      </c>
      <c r="C196" s="21" t="n">
        <v>0</v>
      </c>
      <c r="D196" s="21" t="n">
        <v>46237</v>
      </c>
      <c r="E196" s="20" t="inlineStr">
        <is>
          <t>IFC-ISSUED FOR CONSTRUCTION</t>
        </is>
      </c>
      <c r="F196" s="21" t="n">
        <v>8631</v>
      </c>
      <c r="G196" s="20" t="inlineStr">
        <is>
          <t>PIPE B36.10/36.19 A671 CC60 CL.22 S2 BE BE</t>
        </is>
      </c>
      <c r="H196" s="20" t="inlineStr">
        <is>
          <t>A671</t>
        </is>
      </c>
      <c r="I196" s="22" t="n">
        <v>32</v>
      </c>
      <c r="J196" s="21" t="inlineStr">
        <is>
          <t>XS</t>
        </is>
      </c>
      <c r="K196" s="20" t="inlineStr">
        <is>
          <t>I65622125</t>
        </is>
      </c>
      <c r="L196" s="22" t="n">
        <v>17.9</v>
      </c>
      <c r="M196" s="20">
        <f>IFERROR(LEFT(B196,SEARCH("_Rev",B196)-1),B196)</f>
        <v/>
      </c>
      <c r="N196" s="20">
        <f>IF(B196="","",IF(ISNUMBER(C196),IF(COUNTIFS($M$3:$M$1026,M196,$C$3:$C$1026,"&gt;"&amp;C196)=0,"CURRENT","SUPERSEDED"),"CURRENT"))</f>
        <v/>
      </c>
      <c r="O196" s="19" t="n"/>
    </row>
    <row r="197">
      <c r="A197" s="19" t="n"/>
      <c r="B197" s="20" t="inlineStr">
        <is>
          <t>4503-XH-DL-8631-8631-5031-CWR-03_Rev0</t>
        </is>
      </c>
      <c r="C197" s="21" t="n">
        <v>0</v>
      </c>
      <c r="D197" s="21" t="n">
        <v>46237</v>
      </c>
      <c r="E197" s="20" t="inlineStr">
        <is>
          <t>IFC-ISSUED FOR CONSTRUCTION</t>
        </is>
      </c>
      <c r="F197" s="21" t="n">
        <v>8631</v>
      </c>
      <c r="G197" s="20" t="inlineStr">
        <is>
          <t>PIPE B36.10/36.19 A333 6-SMLS BE BE</t>
        </is>
      </c>
      <c r="H197" s="20" t="inlineStr">
        <is>
          <t>A333</t>
        </is>
      </c>
      <c r="I197" s="22" t="n">
        <v>2</v>
      </c>
      <c r="J197" s="21" t="inlineStr">
        <is>
          <t>XS</t>
        </is>
      </c>
      <c r="K197" s="20" t="inlineStr">
        <is>
          <t>I64108762</t>
        </is>
      </c>
      <c r="L197" s="22" t="n">
        <v>0.6</v>
      </c>
      <c r="M197" s="20">
        <f>IFERROR(LEFT(B197,SEARCH("_Rev",B197)-1),B197)</f>
        <v/>
      </c>
      <c r="N197" s="20">
        <f>IF(B197="","",IF(ISNUMBER(C197),IF(COUNTIFS($M$3:$M$1026,M197,$C$3:$C$1026,"&gt;"&amp;C197)=0,"CURRENT","SUPERSEDED"),"CURRENT"))</f>
        <v/>
      </c>
      <c r="O197" s="19" t="n"/>
    </row>
    <row r="198">
      <c r="A198" s="19" t="n"/>
      <c r="B198" s="20" t="inlineStr">
        <is>
          <t>4503-XH-DL-8631-8631-5031-CWR-04_Rev0</t>
        </is>
      </c>
      <c r="C198" s="21" t="n">
        <v>0</v>
      </c>
      <c r="D198" s="21" t="n">
        <v>46237</v>
      </c>
      <c r="E198" s="20" t="inlineStr">
        <is>
          <t>IFC-ISSUED FOR CONSTRUCTION</t>
        </is>
      </c>
      <c r="F198" s="21" t="n">
        <v>8631</v>
      </c>
      <c r="G198" s="20" t="inlineStr">
        <is>
          <t>PIPE B36.10/36.19 A333 6-SMLS BE BE</t>
        </is>
      </c>
      <c r="H198" s="20" t="inlineStr">
        <is>
          <t>A333</t>
        </is>
      </c>
      <c r="I198" s="22" t="n">
        <v>2</v>
      </c>
      <c r="J198" s="21" t="inlineStr">
        <is>
          <t>XS</t>
        </is>
      </c>
      <c r="K198" s="20" t="inlineStr">
        <is>
          <t>I64108762</t>
        </is>
      </c>
      <c r="L198" s="22" t="n">
        <v>0.1</v>
      </c>
      <c r="M198" s="20">
        <f>IFERROR(LEFT(B198,SEARCH("_Rev",B198)-1),B198)</f>
        <v/>
      </c>
      <c r="N198" s="20">
        <f>IF(B198="","",IF(ISNUMBER(C198),IF(COUNTIFS($M$3:$M$1026,M198,$C$3:$C$1026,"&gt;"&amp;C198)=0,"CURRENT","SUPERSEDED"),"CURRENT"))</f>
        <v/>
      </c>
      <c r="O198" s="19" t="n"/>
    </row>
    <row r="199">
      <c r="A199" s="19" t="n"/>
      <c r="B199" s="20" t="inlineStr">
        <is>
          <t>4503-XH-DL-8631-8631-5031-CWR-05_Rev0</t>
        </is>
      </c>
      <c r="C199" s="21" t="n">
        <v>0</v>
      </c>
      <c r="D199" s="21" t="n">
        <v>46237</v>
      </c>
      <c r="E199" s="20" t="inlineStr">
        <is>
          <t>IFC-ISSUED FOR CONSTRUCTION</t>
        </is>
      </c>
      <c r="F199" s="21" t="n">
        <v>8631</v>
      </c>
      <c r="G199" s="20" t="inlineStr">
        <is>
          <t>PIPE B36.10/36.19 A333 6-SMLS BE BE</t>
        </is>
      </c>
      <c r="H199" s="20" t="inlineStr">
        <is>
          <t>A333</t>
        </is>
      </c>
      <c r="I199" s="22" t="n">
        <v>10</v>
      </c>
      <c r="J199" s="21" t="inlineStr">
        <is>
          <t>STD</t>
        </is>
      </c>
      <c r="K199" s="20" t="inlineStr">
        <is>
          <t>I64108754</t>
        </is>
      </c>
      <c r="L199" s="22" t="n">
        <v>0.2</v>
      </c>
      <c r="M199" s="20">
        <f>IFERROR(LEFT(B199,SEARCH("_Rev",B199)-1),B199)</f>
        <v/>
      </c>
      <c r="N199" s="20">
        <f>IF(B199="","",IF(ISNUMBER(C199),IF(COUNTIFS($M$3:$M$1026,M199,$C$3:$C$1026,"&gt;"&amp;C199)=0,"CURRENT","SUPERSEDED"),"CURRENT"))</f>
        <v/>
      </c>
      <c r="O199" s="19" t="n"/>
    </row>
    <row r="200">
      <c r="A200" s="19" t="n"/>
      <c r="B200" s="20" t="inlineStr">
        <is>
          <t>4503-XH-DL-8631-8631-5032-CWR-01_Rev0</t>
        </is>
      </c>
      <c r="C200" s="21" t="n">
        <v>0</v>
      </c>
      <c r="D200" s="21" t="n">
        <v>46237</v>
      </c>
      <c r="E200" s="20" t="inlineStr">
        <is>
          <t>IFC-ISSUED FOR CONSTRUCTION</t>
        </is>
      </c>
      <c r="F200" s="21" t="n">
        <v>8631</v>
      </c>
      <c r="G200" s="20" t="inlineStr">
        <is>
          <t>PIPE B36.10/36.19 A671 CC60 CL.22 S2 BE BE</t>
        </is>
      </c>
      <c r="H200" s="20" t="inlineStr">
        <is>
          <t>A671</t>
        </is>
      </c>
      <c r="I200" s="22" t="n">
        <v>28</v>
      </c>
      <c r="J200" s="21" t="inlineStr">
        <is>
          <t>XS</t>
        </is>
      </c>
      <c r="K200" s="20" t="inlineStr">
        <is>
          <t>I65622127</t>
        </is>
      </c>
      <c r="L200" s="22" t="n">
        <v>3.6</v>
      </c>
      <c r="M200" s="20">
        <f>IFERROR(LEFT(B200,SEARCH("_Rev",B200)-1),B200)</f>
        <v/>
      </c>
      <c r="N200" s="20">
        <f>IF(B200="","",IF(ISNUMBER(C200),IF(COUNTIFS($M$3:$M$1026,M200,$C$3:$C$1026,"&gt;"&amp;C200)=0,"CURRENT","SUPERSEDED"),"CURRENT"))</f>
        <v/>
      </c>
      <c r="O200" s="19" t="n"/>
    </row>
    <row r="201">
      <c r="A201" s="19" t="n"/>
      <c r="B201" s="20" t="inlineStr">
        <is>
          <t>4503-XH-DL-8631-8631-5033-CWR-01_Rev0</t>
        </is>
      </c>
      <c r="C201" s="21" t="n">
        <v>0</v>
      </c>
      <c r="D201" s="21" t="n">
        <v>46237</v>
      </c>
      <c r="E201" s="20" t="inlineStr">
        <is>
          <t>IFC-ISSUED FOR CONSTRUCTION</t>
        </is>
      </c>
      <c r="F201" s="21" t="n">
        <v>8631</v>
      </c>
      <c r="G201" s="20" t="inlineStr">
        <is>
          <t>PIPE B36.10/36.19 A333 6-SMLS BE BE</t>
        </is>
      </c>
      <c r="H201" s="20" t="inlineStr">
        <is>
          <t>A333</t>
        </is>
      </c>
      <c r="I201" s="22" t="n">
        <v>6</v>
      </c>
      <c r="J201" s="21" t="inlineStr">
        <is>
          <t>STD</t>
        </is>
      </c>
      <c r="K201" s="20" t="inlineStr">
        <is>
          <t>I63649156</t>
        </is>
      </c>
      <c r="L201" s="22" t="n">
        <v>9.800000000000001</v>
      </c>
      <c r="M201" s="20">
        <f>IFERROR(LEFT(B201,SEARCH("_Rev",B201)-1),B201)</f>
        <v/>
      </c>
      <c r="N201" s="20">
        <f>IF(B201="","",IF(ISNUMBER(C201),IF(COUNTIFS($M$3:$M$1026,M201,$C$3:$C$1026,"&gt;"&amp;C201)=0,"CURRENT","SUPERSEDED"),"CURRENT"))</f>
        <v/>
      </c>
      <c r="O201" s="19" t="n"/>
    </row>
    <row r="202">
      <c r="A202" s="19" t="n"/>
      <c r="B202" s="20" t="inlineStr">
        <is>
          <t>4503-XH-DL-8631-8631-5033-CWR-01_Rev0</t>
        </is>
      </c>
      <c r="C202" s="21" t="n">
        <v>0</v>
      </c>
      <c r="D202" s="21" t="n">
        <v>46237</v>
      </c>
      <c r="E202" s="20" t="inlineStr">
        <is>
          <t>IFC-ISSUED FOR CONSTRUCTION</t>
        </is>
      </c>
      <c r="F202" s="21" t="n">
        <v>8631</v>
      </c>
      <c r="G202" s="20" t="inlineStr">
        <is>
          <t>PIPE B36.10/36.19 A333 6-SMLS BE BE</t>
        </is>
      </c>
      <c r="H202" s="20" t="inlineStr">
        <is>
          <t>A333</t>
        </is>
      </c>
      <c r="I202" s="22" t="n">
        <v>2</v>
      </c>
      <c r="J202" s="21" t="inlineStr">
        <is>
          <t>XS</t>
        </is>
      </c>
      <c r="K202" s="20" t="inlineStr">
        <is>
          <t>I64108762</t>
        </is>
      </c>
      <c r="L202" s="22" t="n">
        <v>1.1</v>
      </c>
      <c r="M202" s="20">
        <f>IFERROR(LEFT(B202,SEARCH("_Rev",B202)-1),B202)</f>
        <v/>
      </c>
      <c r="N202" s="20">
        <f>IF(B202="","",IF(ISNUMBER(C202),IF(COUNTIFS($M$3:$M$1026,M202,$C$3:$C$1026,"&gt;"&amp;C202)=0,"CURRENT","SUPERSEDED"),"CURRENT"))</f>
        <v/>
      </c>
      <c r="O202" s="19" t="n"/>
    </row>
    <row r="203">
      <c r="A203" s="19" t="n"/>
      <c r="B203" s="20" t="inlineStr">
        <is>
          <t>4503-XH-DL-8631-8631-5033-CWR-02_Rev0</t>
        </is>
      </c>
      <c r="C203" s="21" t="n">
        <v>0</v>
      </c>
      <c r="D203" s="21" t="n">
        <v>46237</v>
      </c>
      <c r="E203" s="20" t="inlineStr">
        <is>
          <t>IFC-ISSUED FOR CONSTRUCTION</t>
        </is>
      </c>
      <c r="F203" s="21" t="n">
        <v>8631</v>
      </c>
      <c r="G203" s="20" t="inlineStr">
        <is>
          <t>PIPE B36.10/36.19 A333 6-SMLS BE BE</t>
        </is>
      </c>
      <c r="H203" s="20" t="inlineStr">
        <is>
          <t>A333</t>
        </is>
      </c>
      <c r="I203" s="22" t="n">
        <v>2</v>
      </c>
      <c r="J203" s="21" t="inlineStr">
        <is>
          <t>XS</t>
        </is>
      </c>
      <c r="K203" s="20" t="inlineStr">
        <is>
          <t>I64108762</t>
        </is>
      </c>
      <c r="L203" s="22" t="n">
        <v>2.5</v>
      </c>
      <c r="M203" s="20">
        <f>IFERROR(LEFT(B203,SEARCH("_Rev",B203)-1),B203)</f>
        <v/>
      </c>
      <c r="N203" s="20">
        <f>IF(B203="","",IF(ISNUMBER(C203),IF(COUNTIFS($M$3:$M$1026,M203,$C$3:$C$1026,"&gt;"&amp;C203)=0,"CURRENT","SUPERSEDED"),"CURRENT"))</f>
        <v/>
      </c>
      <c r="O203" s="19" t="n"/>
    </row>
    <row r="204">
      <c r="A204" s="19" t="n"/>
      <c r="B204" s="20" t="inlineStr">
        <is>
          <t>4503-XH-DL-8631-8631-5034-CWR-01_Rev0</t>
        </is>
      </c>
      <c r="C204" s="21" t="n">
        <v>0</v>
      </c>
      <c r="D204" s="21" t="n">
        <v>46237</v>
      </c>
      <c r="E204" s="20" t="inlineStr">
        <is>
          <t>IFC-ISSUED FOR CONSTRUCTION</t>
        </is>
      </c>
      <c r="F204" s="21" t="n">
        <v>8631</v>
      </c>
      <c r="G204" s="20" t="inlineStr">
        <is>
          <t>PIPE B36.10/36.19 A671 CC60 CL.22 S2 BE BE</t>
        </is>
      </c>
      <c r="H204" s="20" t="inlineStr">
        <is>
          <t>A671</t>
        </is>
      </c>
      <c r="I204" s="22" t="n">
        <v>32</v>
      </c>
      <c r="J204" s="21" t="inlineStr">
        <is>
          <t>XS</t>
        </is>
      </c>
      <c r="K204" s="20" t="inlineStr">
        <is>
          <t>I65622125</t>
        </is>
      </c>
      <c r="L204" s="22" t="n">
        <v>17.9</v>
      </c>
      <c r="M204" s="20">
        <f>IFERROR(LEFT(B204,SEARCH("_Rev",B204)-1),B204)</f>
        <v/>
      </c>
      <c r="N204" s="20">
        <f>IF(B204="","",IF(ISNUMBER(C204),IF(COUNTIFS($M$3:$M$1026,M204,$C$3:$C$1026,"&gt;"&amp;C204)=0,"CURRENT","SUPERSEDED"),"CURRENT"))</f>
        <v/>
      </c>
      <c r="O204" s="19" t="n"/>
    </row>
    <row r="205">
      <c r="A205" s="19" t="n"/>
      <c r="B205" s="20" t="inlineStr">
        <is>
          <t>4503-XH-DL-8631-8631-5034-CWR-03_Rev0</t>
        </is>
      </c>
      <c r="C205" s="21" t="n">
        <v>0</v>
      </c>
      <c r="D205" s="21" t="n">
        <v>46237</v>
      </c>
      <c r="E205" s="20" t="inlineStr">
        <is>
          <t>IFC-ISSUED FOR CONSTRUCTION</t>
        </is>
      </c>
      <c r="F205" s="21" t="n">
        <v>8631</v>
      </c>
      <c r="G205" s="20" t="inlineStr">
        <is>
          <t>PIPE B36.10/36.19 A333 6-SMLS BE BE</t>
        </is>
      </c>
      <c r="H205" s="20" t="inlineStr">
        <is>
          <t>A333</t>
        </is>
      </c>
      <c r="I205" s="22" t="n">
        <v>2</v>
      </c>
      <c r="J205" s="21" t="inlineStr">
        <is>
          <t>XS</t>
        </is>
      </c>
      <c r="K205" s="20" t="inlineStr">
        <is>
          <t>I64108762</t>
        </is>
      </c>
      <c r="L205" s="22" t="n">
        <v>0.6</v>
      </c>
      <c r="M205" s="20">
        <f>IFERROR(LEFT(B205,SEARCH("_Rev",B205)-1),B205)</f>
        <v/>
      </c>
      <c r="N205" s="20">
        <f>IF(B205="","",IF(ISNUMBER(C205),IF(COUNTIFS($M$3:$M$1026,M205,$C$3:$C$1026,"&gt;"&amp;C205)=0,"CURRENT","SUPERSEDED"),"CURRENT"))</f>
        <v/>
      </c>
      <c r="O205" s="19" t="n"/>
    </row>
    <row r="206">
      <c r="A206" s="19" t="n"/>
      <c r="B206" s="20" t="inlineStr">
        <is>
          <t>4503-XH-DL-8631-8631-5034-CWR-04_Rev0</t>
        </is>
      </c>
      <c r="C206" s="21" t="n">
        <v>0</v>
      </c>
      <c r="D206" s="21" t="n">
        <v>46237</v>
      </c>
      <c r="E206" s="20" t="inlineStr">
        <is>
          <t>IFC-ISSUED FOR CONSTRUCTION</t>
        </is>
      </c>
      <c r="F206" s="21" t="n">
        <v>8631</v>
      </c>
      <c r="G206" s="20" t="inlineStr">
        <is>
          <t>PIPE B36.10/36.19 A333 6-SMLS BE BE</t>
        </is>
      </c>
      <c r="H206" s="20" t="inlineStr">
        <is>
          <t>A333</t>
        </is>
      </c>
      <c r="I206" s="22" t="n">
        <v>2</v>
      </c>
      <c r="J206" s="21" t="inlineStr">
        <is>
          <t>XS</t>
        </is>
      </c>
      <c r="K206" s="20" t="inlineStr">
        <is>
          <t>I64108762</t>
        </is>
      </c>
      <c r="L206" s="22" t="n">
        <v>0.1</v>
      </c>
      <c r="M206" s="20">
        <f>IFERROR(LEFT(B206,SEARCH("_Rev",B206)-1),B206)</f>
        <v/>
      </c>
      <c r="N206" s="20">
        <f>IF(B206="","",IF(ISNUMBER(C206),IF(COUNTIFS($M$3:$M$1026,M206,$C$3:$C$1026,"&gt;"&amp;C206)=0,"CURRENT","SUPERSEDED"),"CURRENT"))</f>
        <v/>
      </c>
      <c r="O206" s="19" t="n"/>
    </row>
    <row r="207">
      <c r="A207" s="19" t="n"/>
      <c r="B207" s="20" t="inlineStr">
        <is>
          <t>4503-XH-DL-8631-8631-5034-CWR-05_Rev0</t>
        </is>
      </c>
      <c r="C207" s="21" t="n">
        <v>0</v>
      </c>
      <c r="D207" s="21" t="n">
        <v>46237</v>
      </c>
      <c r="E207" s="20" t="inlineStr">
        <is>
          <t>IFC-ISSUED FOR CONSTRUCTION</t>
        </is>
      </c>
      <c r="F207" s="21" t="n">
        <v>8631</v>
      </c>
      <c r="G207" s="20" t="inlineStr">
        <is>
          <t>PIPE B36.10/36.19 A333 6-SMLS BE BE</t>
        </is>
      </c>
      <c r="H207" s="20" t="inlineStr">
        <is>
          <t>A333</t>
        </is>
      </c>
      <c r="I207" s="22" t="n">
        <v>10</v>
      </c>
      <c r="J207" s="21" t="inlineStr">
        <is>
          <t>STD</t>
        </is>
      </c>
      <c r="K207" s="20" t="inlineStr">
        <is>
          <t>I64108754</t>
        </is>
      </c>
      <c r="L207" s="22" t="n">
        <v>0.2</v>
      </c>
      <c r="M207" s="20">
        <f>IFERROR(LEFT(B207,SEARCH("_Rev",B207)-1),B207)</f>
        <v/>
      </c>
      <c r="N207" s="20">
        <f>IF(B207="","",IF(ISNUMBER(C207),IF(COUNTIFS($M$3:$M$1026,M207,$C$3:$C$1026,"&gt;"&amp;C207)=0,"CURRENT","SUPERSEDED"),"CURRENT"))</f>
        <v/>
      </c>
      <c r="O207" s="19" t="n"/>
    </row>
    <row r="208">
      <c r="A208" s="19" t="n"/>
      <c r="B208" s="20" t="inlineStr">
        <is>
          <t>4503-XH-DL-8631-8631-5035-CWR-01_Rev0</t>
        </is>
      </c>
      <c r="C208" s="21" t="n">
        <v>0</v>
      </c>
      <c r="D208" s="21" t="n">
        <v>46237</v>
      </c>
      <c r="E208" s="20" t="inlineStr">
        <is>
          <t>IFC-ISSUED FOR CONSTRUCTION</t>
        </is>
      </c>
      <c r="F208" s="21" t="n">
        <v>8631</v>
      </c>
      <c r="G208" s="20" t="inlineStr">
        <is>
          <t>PIPE B36.10/36.19 A671 CC60 CL.22 S2 BE BE</t>
        </is>
      </c>
      <c r="H208" s="20" t="inlineStr">
        <is>
          <t>A671</t>
        </is>
      </c>
      <c r="I208" s="22" t="n">
        <v>28</v>
      </c>
      <c r="J208" s="21" t="inlineStr">
        <is>
          <t>XS</t>
        </is>
      </c>
      <c r="K208" s="20" t="inlineStr">
        <is>
          <t>I65622127</t>
        </is>
      </c>
      <c r="L208" s="22" t="n">
        <v>3.6</v>
      </c>
      <c r="M208" s="20">
        <f>IFERROR(LEFT(B208,SEARCH("_Rev",B208)-1),B208)</f>
        <v/>
      </c>
      <c r="N208" s="20">
        <f>IF(B208="","",IF(ISNUMBER(C208),IF(COUNTIFS($M$3:$M$1026,M208,$C$3:$C$1026,"&gt;"&amp;C208)=0,"CURRENT","SUPERSEDED"),"CURRENT"))</f>
        <v/>
      </c>
      <c r="O208" s="19" t="n"/>
    </row>
    <row r="209">
      <c r="A209" s="19" t="n"/>
      <c r="B209" s="20" t="inlineStr">
        <is>
          <t>4503-XH-DL-8631-8631-5036-CWR-01_Rev0</t>
        </is>
      </c>
      <c r="C209" s="21" t="n">
        <v>0</v>
      </c>
      <c r="D209" s="21" t="n">
        <v>46237</v>
      </c>
      <c r="E209" s="20" t="inlineStr">
        <is>
          <t>IFC-ISSUED FOR CONSTRUCTION</t>
        </is>
      </c>
      <c r="F209" s="21" t="n">
        <v>8631</v>
      </c>
      <c r="G209" s="20" t="inlineStr">
        <is>
          <t>PIPE B36.10/36.19 A671 CC60 CL.22 S2 BE BE</t>
        </is>
      </c>
      <c r="H209" s="20" t="inlineStr">
        <is>
          <t>A671</t>
        </is>
      </c>
      <c r="I209" s="22" t="n">
        <v>28</v>
      </c>
      <c r="J209" s="21" t="inlineStr">
        <is>
          <t>XS</t>
        </is>
      </c>
      <c r="K209" s="20" t="inlineStr">
        <is>
          <t>I65622127</t>
        </is>
      </c>
      <c r="L209" s="22" t="n">
        <v>3.6</v>
      </c>
      <c r="M209" s="20">
        <f>IFERROR(LEFT(B209,SEARCH("_Rev",B209)-1),B209)</f>
        <v/>
      </c>
      <c r="N209" s="20">
        <f>IF(B209="","",IF(ISNUMBER(C209),IF(COUNTIFS($M$3:$M$1026,M209,$C$3:$C$1026,"&gt;"&amp;C209)=0,"CURRENT","SUPERSEDED"),"CURRENT"))</f>
        <v/>
      </c>
      <c r="O209" s="19" t="n"/>
    </row>
    <row r="210">
      <c r="A210" s="19" t="n"/>
      <c r="B210" s="20" t="inlineStr">
        <is>
          <t>4503-XH-DL-8631-8631-5037-CWR-01_Rev0</t>
        </is>
      </c>
      <c r="C210" s="21" t="n">
        <v>0</v>
      </c>
      <c r="D210" s="21" t="n">
        <v>46237</v>
      </c>
      <c r="E210" s="20" t="inlineStr">
        <is>
          <t>IFC-ISSUED FOR CONSTRUCTION</t>
        </is>
      </c>
      <c r="F210" s="21" t="n">
        <v>8631</v>
      </c>
      <c r="G210" s="20" t="inlineStr">
        <is>
          <t>PIPE B36.10/36.19 A333 6-SMLS BE BE</t>
        </is>
      </c>
      <c r="H210" s="20" t="inlineStr">
        <is>
          <t>A333</t>
        </is>
      </c>
      <c r="I210" s="22" t="n">
        <v>6</v>
      </c>
      <c r="J210" s="21" t="inlineStr">
        <is>
          <t>STD</t>
        </is>
      </c>
      <c r="K210" s="20" t="inlineStr">
        <is>
          <t>I63649156</t>
        </is>
      </c>
      <c r="L210" s="22" t="n">
        <v>9.800000000000001</v>
      </c>
      <c r="M210" s="20">
        <f>IFERROR(LEFT(B210,SEARCH("_Rev",B210)-1),B210)</f>
        <v/>
      </c>
      <c r="N210" s="20">
        <f>IF(B210="","",IF(ISNUMBER(C210),IF(COUNTIFS($M$3:$M$1026,M210,$C$3:$C$1026,"&gt;"&amp;C210)=0,"CURRENT","SUPERSEDED"),"CURRENT"))</f>
        <v/>
      </c>
      <c r="O210" s="19" t="n"/>
    </row>
    <row r="211">
      <c r="A211" s="19" t="n"/>
      <c r="B211" s="20" t="inlineStr">
        <is>
          <t>4503-XH-DL-8631-8631-5037-CWR-01_Rev0</t>
        </is>
      </c>
      <c r="C211" s="21" t="n">
        <v>0</v>
      </c>
      <c r="D211" s="21" t="n">
        <v>46237</v>
      </c>
      <c r="E211" s="20" t="inlineStr">
        <is>
          <t>IFC-ISSUED FOR CONSTRUCTION</t>
        </is>
      </c>
      <c r="F211" s="21" t="n">
        <v>8631</v>
      </c>
      <c r="G211" s="20" t="inlineStr">
        <is>
          <t>PIPE B36.10/36.19 A333 6-SMLS BE BE</t>
        </is>
      </c>
      <c r="H211" s="20" t="inlineStr">
        <is>
          <t>A333</t>
        </is>
      </c>
      <c r="I211" s="22" t="n">
        <v>2</v>
      </c>
      <c r="J211" s="21" t="inlineStr">
        <is>
          <t>XS</t>
        </is>
      </c>
      <c r="K211" s="20" t="inlineStr">
        <is>
          <t>I64108762</t>
        </is>
      </c>
      <c r="L211" s="22" t="n">
        <v>1.1</v>
      </c>
      <c r="M211" s="20">
        <f>IFERROR(LEFT(B211,SEARCH("_Rev",B211)-1),B211)</f>
        <v/>
      </c>
      <c r="N211" s="20">
        <f>IF(B211="","",IF(ISNUMBER(C211),IF(COUNTIFS($M$3:$M$1026,M211,$C$3:$C$1026,"&gt;"&amp;C211)=0,"CURRENT","SUPERSEDED"),"CURRENT"))</f>
        <v/>
      </c>
      <c r="O211" s="19" t="n"/>
    </row>
    <row r="212">
      <c r="A212" s="19" t="n"/>
      <c r="B212" s="20" t="inlineStr">
        <is>
          <t>4503-XH-DL-8631-8631-5037-CWR-02_Rev0</t>
        </is>
      </c>
      <c r="C212" s="21" t="n">
        <v>0</v>
      </c>
      <c r="D212" s="21" t="n">
        <v>46237</v>
      </c>
      <c r="E212" s="20" t="inlineStr">
        <is>
          <t>IFC-ISSUED FOR CONSTRUCTION</t>
        </is>
      </c>
      <c r="F212" s="21" t="n">
        <v>8631</v>
      </c>
      <c r="G212" s="20" t="inlineStr">
        <is>
          <t>PIPE B36.10/36.19 A333 6-SMLS BE BE</t>
        </is>
      </c>
      <c r="H212" s="20" t="inlineStr">
        <is>
          <t>A333</t>
        </is>
      </c>
      <c r="I212" s="22" t="n">
        <v>2</v>
      </c>
      <c r="J212" s="21" t="inlineStr">
        <is>
          <t>XS</t>
        </is>
      </c>
      <c r="K212" s="20" t="inlineStr">
        <is>
          <t>I64108762</t>
        </is>
      </c>
      <c r="L212" s="22" t="n">
        <v>2.5</v>
      </c>
      <c r="M212" s="20">
        <f>IFERROR(LEFT(B212,SEARCH("_Rev",B212)-1),B212)</f>
        <v/>
      </c>
      <c r="N212" s="20">
        <f>IF(B212="","",IF(ISNUMBER(C212),IF(COUNTIFS($M$3:$M$1026,M212,$C$3:$C$1026,"&gt;"&amp;C212)=0,"CURRENT","SUPERSEDED"),"CURRENT"))</f>
        <v/>
      </c>
      <c r="O212" s="19" t="n"/>
    </row>
    <row r="213">
      <c r="A213" s="19" t="n"/>
      <c r="B213" s="20" t="inlineStr">
        <is>
          <t>4503-XH-DL-8631-8631-5038-CWR-01_Rev0</t>
        </is>
      </c>
      <c r="C213" s="21" t="n">
        <v>0</v>
      </c>
      <c r="D213" s="21" t="n">
        <v>46237</v>
      </c>
      <c r="E213" s="20" t="inlineStr">
        <is>
          <t>IFC-ISSUED FOR CONSTRUCTION</t>
        </is>
      </c>
      <c r="F213" s="21" t="n">
        <v>8631</v>
      </c>
      <c r="G213" s="20" t="inlineStr">
        <is>
          <t>PIPE B36.10/36.19 A671 CC60 CL.22 S2 BE BE</t>
        </is>
      </c>
      <c r="H213" s="20" t="inlineStr">
        <is>
          <t>A671</t>
        </is>
      </c>
      <c r="I213" s="22" t="n">
        <v>32</v>
      </c>
      <c r="J213" s="21" t="inlineStr">
        <is>
          <t>XS</t>
        </is>
      </c>
      <c r="K213" s="20" t="inlineStr">
        <is>
          <t>I65622125</t>
        </is>
      </c>
      <c r="L213" s="22" t="n">
        <v>18</v>
      </c>
      <c r="M213" s="20">
        <f>IFERROR(LEFT(B213,SEARCH("_Rev",B213)-1),B213)</f>
        <v/>
      </c>
      <c r="N213" s="20">
        <f>IF(B213="","",IF(ISNUMBER(C213),IF(COUNTIFS($M$3:$M$1026,M213,$C$3:$C$1026,"&gt;"&amp;C213)=0,"CURRENT","SUPERSEDED"),"CURRENT"))</f>
        <v/>
      </c>
      <c r="O213" s="19" t="n"/>
    </row>
    <row r="214">
      <c r="A214" s="19" t="n"/>
      <c r="B214" s="20" t="inlineStr">
        <is>
          <t>4503-XH-DL-8631-8631-5038-CWR-03_Rev0</t>
        </is>
      </c>
      <c r="C214" s="21" t="n">
        <v>0</v>
      </c>
      <c r="D214" s="21" t="n">
        <v>46237</v>
      </c>
      <c r="E214" s="20" t="inlineStr">
        <is>
          <t>IFC-ISSUED FOR CONSTRUCTION</t>
        </is>
      </c>
      <c r="F214" s="21" t="n">
        <v>8631</v>
      </c>
      <c r="G214" s="20" t="inlineStr">
        <is>
          <t>PIPE B36.10/36.19 A333 6-SMLS BE BE</t>
        </is>
      </c>
      <c r="H214" s="20" t="inlineStr">
        <is>
          <t>A333</t>
        </is>
      </c>
      <c r="I214" s="22" t="n">
        <v>2</v>
      </c>
      <c r="J214" s="21" t="inlineStr">
        <is>
          <t>XS</t>
        </is>
      </c>
      <c r="K214" s="20" t="inlineStr">
        <is>
          <t>I64108762</t>
        </is>
      </c>
      <c r="L214" s="22" t="n">
        <v>0.6</v>
      </c>
      <c r="M214" s="20">
        <f>IFERROR(LEFT(B214,SEARCH("_Rev",B214)-1),B214)</f>
        <v/>
      </c>
      <c r="N214" s="20">
        <f>IF(B214="","",IF(ISNUMBER(C214),IF(COUNTIFS($M$3:$M$1026,M214,$C$3:$C$1026,"&gt;"&amp;C214)=0,"CURRENT","SUPERSEDED"),"CURRENT"))</f>
        <v/>
      </c>
      <c r="O214" s="19" t="n"/>
    </row>
    <row r="215">
      <c r="A215" s="19" t="n"/>
      <c r="B215" s="20" t="inlineStr">
        <is>
          <t>4503-XH-DL-8631-8631-5038-CWR-04_Rev0</t>
        </is>
      </c>
      <c r="C215" s="21" t="n">
        <v>0</v>
      </c>
      <c r="D215" s="21" t="n">
        <v>46237</v>
      </c>
      <c r="E215" s="20" t="inlineStr">
        <is>
          <t>IFC-ISSUED FOR CONSTRUCTION</t>
        </is>
      </c>
      <c r="F215" s="21" t="n">
        <v>8631</v>
      </c>
      <c r="G215" s="20" t="inlineStr">
        <is>
          <t>PIPE B36.10/36.19 A333 6-SMLS BE BE</t>
        </is>
      </c>
      <c r="H215" s="20" t="inlineStr">
        <is>
          <t>A333</t>
        </is>
      </c>
      <c r="I215" s="22" t="n">
        <v>2</v>
      </c>
      <c r="J215" s="21" t="inlineStr">
        <is>
          <t>XS</t>
        </is>
      </c>
      <c r="K215" s="20" t="inlineStr">
        <is>
          <t>I64108762</t>
        </is>
      </c>
      <c r="L215" s="22" t="n">
        <v>0.1</v>
      </c>
      <c r="M215" s="20">
        <f>IFERROR(LEFT(B215,SEARCH("_Rev",B215)-1),B215)</f>
        <v/>
      </c>
      <c r="N215" s="20">
        <f>IF(B215="","",IF(ISNUMBER(C215),IF(COUNTIFS($M$3:$M$1026,M215,$C$3:$C$1026,"&gt;"&amp;C215)=0,"CURRENT","SUPERSEDED"),"CURRENT"))</f>
        <v/>
      </c>
      <c r="O215" s="19" t="n"/>
    </row>
    <row r="216">
      <c r="A216" s="19" t="n"/>
      <c r="B216" s="20" t="inlineStr">
        <is>
          <t>4503-XH-DL-8631-8631-5038-CWR-05_Rev0</t>
        </is>
      </c>
      <c r="C216" s="21" t="n">
        <v>0</v>
      </c>
      <c r="D216" s="21" t="n">
        <v>46237</v>
      </c>
      <c r="E216" s="20" t="inlineStr">
        <is>
          <t>IFC-ISSUED FOR CONSTRUCTION</t>
        </is>
      </c>
      <c r="F216" s="21" t="n">
        <v>8631</v>
      </c>
      <c r="G216" s="20" t="inlineStr">
        <is>
          <t>PIPE B36.10/36.19 A333 6-SMLS BE BE</t>
        </is>
      </c>
      <c r="H216" s="20" t="inlineStr">
        <is>
          <t>A333</t>
        </is>
      </c>
      <c r="I216" s="22" t="n">
        <v>10</v>
      </c>
      <c r="J216" s="21" t="inlineStr">
        <is>
          <t>STD</t>
        </is>
      </c>
      <c r="K216" s="20" t="inlineStr">
        <is>
          <t>I64108754</t>
        </is>
      </c>
      <c r="L216" s="22" t="n">
        <v>0.2</v>
      </c>
      <c r="M216" s="20">
        <f>IFERROR(LEFT(B216,SEARCH("_Rev",B216)-1),B216)</f>
        <v/>
      </c>
      <c r="N216" s="20">
        <f>IF(B216="","",IF(ISNUMBER(C216),IF(COUNTIFS($M$3:$M$1026,M216,$C$3:$C$1026,"&gt;"&amp;C216)=0,"CURRENT","SUPERSEDED"),"CURRENT"))</f>
        <v/>
      </c>
      <c r="O216" s="19" t="n"/>
    </row>
    <row r="217">
      <c r="A217" s="19" t="n"/>
      <c r="B217" s="20" t="inlineStr">
        <is>
          <t>4503-XH-DL-8631-8631-5039-CWR-01_Rev0</t>
        </is>
      </c>
      <c r="C217" s="21" t="n">
        <v>0</v>
      </c>
      <c r="D217" s="21" t="n">
        <v>46237</v>
      </c>
      <c r="E217" s="20" t="inlineStr">
        <is>
          <t>IFC-ISSUED FOR CONSTRUCTION</t>
        </is>
      </c>
      <c r="F217" s="21" t="n">
        <v>8631</v>
      </c>
      <c r="G217" s="20" t="inlineStr">
        <is>
          <t>PIPE B36.10/36.19 A671 CC60 CL.22 S2 BE BE</t>
        </is>
      </c>
      <c r="H217" s="20" t="inlineStr">
        <is>
          <t>A671</t>
        </is>
      </c>
      <c r="I217" s="22" t="n">
        <v>28</v>
      </c>
      <c r="J217" s="21" t="inlineStr">
        <is>
          <t>XS</t>
        </is>
      </c>
      <c r="K217" s="20" t="inlineStr">
        <is>
          <t>I65622127</t>
        </is>
      </c>
      <c r="L217" s="22" t="n">
        <v>3.6</v>
      </c>
      <c r="M217" s="20">
        <f>IFERROR(LEFT(B217,SEARCH("_Rev",B217)-1),B217)</f>
        <v/>
      </c>
      <c r="N217" s="20">
        <f>IF(B217="","",IF(ISNUMBER(C217),IF(COUNTIFS($M$3:$M$1026,M217,$C$3:$C$1026,"&gt;"&amp;C217)=0,"CURRENT","SUPERSEDED"),"CURRENT"))</f>
        <v/>
      </c>
      <c r="O217" s="19" t="n"/>
    </row>
    <row r="218">
      <c r="A218" s="19" t="n"/>
      <c r="B218" s="20" t="inlineStr">
        <is>
          <t>4503-XH-DL-8631-8631-5040-CWR-01_Rev0</t>
        </is>
      </c>
      <c r="C218" s="21" t="n">
        <v>0</v>
      </c>
      <c r="D218" s="21" t="n">
        <v>46237</v>
      </c>
      <c r="E218" s="20" t="inlineStr">
        <is>
          <t>IFC-ISSUED FOR CONSTRUCTION</t>
        </is>
      </c>
      <c r="F218" s="21" t="n">
        <v>8631</v>
      </c>
      <c r="G218" s="20" t="inlineStr">
        <is>
          <t>PIPE B36.10/36.19 A333 6-SMLS BE BE</t>
        </is>
      </c>
      <c r="H218" s="20" t="inlineStr">
        <is>
          <t>A333</t>
        </is>
      </c>
      <c r="I218" s="22" t="n">
        <v>6</v>
      </c>
      <c r="J218" s="21" t="inlineStr">
        <is>
          <t>STD</t>
        </is>
      </c>
      <c r="K218" s="20" t="inlineStr">
        <is>
          <t>I63649156</t>
        </is>
      </c>
      <c r="L218" s="22" t="n">
        <v>9.800000000000001</v>
      </c>
      <c r="M218" s="20">
        <f>IFERROR(LEFT(B218,SEARCH("_Rev",B218)-1),B218)</f>
        <v/>
      </c>
      <c r="N218" s="20">
        <f>IF(B218="","",IF(ISNUMBER(C218),IF(COUNTIFS($M$3:$M$1026,M218,$C$3:$C$1026,"&gt;"&amp;C218)=0,"CURRENT","SUPERSEDED"),"CURRENT"))</f>
        <v/>
      </c>
      <c r="O218" s="19" t="n"/>
    </row>
    <row r="219">
      <c r="A219" s="19" t="n"/>
      <c r="B219" s="20" t="inlineStr">
        <is>
          <t>4503-XH-DL-8631-8631-5040-CWR-01_Rev0</t>
        </is>
      </c>
      <c r="C219" s="21" t="n">
        <v>0</v>
      </c>
      <c r="D219" s="21" t="n">
        <v>46237</v>
      </c>
      <c r="E219" s="20" t="inlineStr">
        <is>
          <t>IFC-ISSUED FOR CONSTRUCTION</t>
        </is>
      </c>
      <c r="F219" s="21" t="n">
        <v>8631</v>
      </c>
      <c r="G219" s="20" t="inlineStr">
        <is>
          <t>PIPE B36.10/36.19 A333 6-SMLS BE BE</t>
        </is>
      </c>
      <c r="H219" s="20" t="inlineStr">
        <is>
          <t>A333</t>
        </is>
      </c>
      <c r="I219" s="22" t="n">
        <v>2</v>
      </c>
      <c r="J219" s="21" t="inlineStr">
        <is>
          <t>XS</t>
        </is>
      </c>
      <c r="K219" s="20" t="inlineStr">
        <is>
          <t>I64108762</t>
        </is>
      </c>
      <c r="L219" s="22" t="n">
        <v>1.1</v>
      </c>
      <c r="M219" s="20">
        <f>IFERROR(LEFT(B219,SEARCH("_Rev",B219)-1),B219)</f>
        <v/>
      </c>
      <c r="N219" s="20">
        <f>IF(B219="","",IF(ISNUMBER(C219),IF(COUNTIFS($M$3:$M$1026,M219,$C$3:$C$1026,"&gt;"&amp;C219)=0,"CURRENT","SUPERSEDED"),"CURRENT"))</f>
        <v/>
      </c>
      <c r="O219" s="19" t="n"/>
    </row>
    <row r="220">
      <c r="A220" s="19" t="n"/>
      <c r="B220" s="20" t="inlineStr">
        <is>
          <t>4503-XH-DL-8631-8631-5040-CWR-02_Rev0</t>
        </is>
      </c>
      <c r="C220" s="21" t="n">
        <v>0</v>
      </c>
      <c r="D220" s="21" t="n">
        <v>46237</v>
      </c>
      <c r="E220" s="20" t="inlineStr">
        <is>
          <t>IFC-ISSUED FOR CONSTRUCTION</t>
        </is>
      </c>
      <c r="F220" s="21" t="n">
        <v>8631</v>
      </c>
      <c r="G220" s="20" t="inlineStr">
        <is>
          <t>PIPE B36.10/36.19 A333 6-SMLS BE BE</t>
        </is>
      </c>
      <c r="H220" s="20" t="inlineStr">
        <is>
          <t>A333</t>
        </is>
      </c>
      <c r="I220" s="22" t="n">
        <v>2</v>
      </c>
      <c r="J220" s="21" t="inlineStr">
        <is>
          <t>XS</t>
        </is>
      </c>
      <c r="K220" s="20" t="inlineStr">
        <is>
          <t>I64108762</t>
        </is>
      </c>
      <c r="L220" s="22" t="n">
        <v>2.5</v>
      </c>
      <c r="M220" s="20">
        <f>IFERROR(LEFT(B220,SEARCH("_Rev",B220)-1),B220)</f>
        <v/>
      </c>
      <c r="N220" s="20">
        <f>IF(B220="","",IF(ISNUMBER(C220),IF(COUNTIFS($M$3:$M$1026,M220,$C$3:$C$1026,"&gt;"&amp;C220)=0,"CURRENT","SUPERSEDED"),"CURRENT"))</f>
        <v/>
      </c>
      <c r="O220" s="19" t="n"/>
    </row>
    <row r="221">
      <c r="A221" s="19" t="n"/>
      <c r="B221" s="20" t="inlineStr">
        <is>
          <t>4503-XH-DL-8631-8631-5041-CWR-01_Rev0</t>
        </is>
      </c>
      <c r="C221" s="21" t="n">
        <v>0</v>
      </c>
      <c r="D221" s="21" t="n">
        <v>46237</v>
      </c>
      <c r="E221" s="20" t="inlineStr">
        <is>
          <t>IFC-ISSUED FOR CONSTRUCTION</t>
        </is>
      </c>
      <c r="F221" s="21" t="n">
        <v>8631</v>
      </c>
      <c r="G221" s="20" t="inlineStr">
        <is>
          <t>PIPE B36.10/36.19 A333 6-SMLS BE BE</t>
        </is>
      </c>
      <c r="H221" s="20" t="inlineStr">
        <is>
          <t>A333</t>
        </is>
      </c>
      <c r="I221" s="22" t="n">
        <v>6</v>
      </c>
      <c r="J221" s="21" t="inlineStr">
        <is>
          <t>STD</t>
        </is>
      </c>
      <c r="K221" s="20" t="inlineStr">
        <is>
          <t>I63649156</t>
        </is>
      </c>
      <c r="L221" s="22" t="n">
        <v>9.800000000000001</v>
      </c>
      <c r="M221" s="20">
        <f>IFERROR(LEFT(B221,SEARCH("_Rev",B221)-1),B221)</f>
        <v/>
      </c>
      <c r="N221" s="20">
        <f>IF(B221="","",IF(ISNUMBER(C221),IF(COUNTIFS($M$3:$M$1026,M221,$C$3:$C$1026,"&gt;"&amp;C221)=0,"CURRENT","SUPERSEDED"),"CURRENT"))</f>
        <v/>
      </c>
      <c r="O221" s="19" t="n"/>
    </row>
    <row r="222">
      <c r="A222" s="19" t="n"/>
      <c r="B222" s="20" t="inlineStr">
        <is>
          <t>4503-XH-DL-8631-8631-5041-CWR-01_Rev0</t>
        </is>
      </c>
      <c r="C222" s="21" t="n">
        <v>0</v>
      </c>
      <c r="D222" s="21" t="n">
        <v>46237</v>
      </c>
      <c r="E222" s="20" t="inlineStr">
        <is>
          <t>IFC-ISSUED FOR CONSTRUCTION</t>
        </is>
      </c>
      <c r="F222" s="21" t="n">
        <v>8631</v>
      </c>
      <c r="G222" s="20" t="inlineStr">
        <is>
          <t>PIPE B36.10/36.19 A333 6-SMLS BE BE</t>
        </is>
      </c>
      <c r="H222" s="20" t="inlineStr">
        <is>
          <t>A333</t>
        </is>
      </c>
      <c r="I222" s="22" t="n">
        <v>2</v>
      </c>
      <c r="J222" s="21" t="inlineStr">
        <is>
          <t>XS</t>
        </is>
      </c>
      <c r="K222" s="20" t="inlineStr">
        <is>
          <t>I64108762</t>
        </is>
      </c>
      <c r="L222" s="22" t="n">
        <v>1.1</v>
      </c>
      <c r="M222" s="20">
        <f>IFERROR(LEFT(B222,SEARCH("_Rev",B222)-1),B222)</f>
        <v/>
      </c>
      <c r="N222" s="20">
        <f>IF(B222="","",IF(ISNUMBER(C222),IF(COUNTIFS($M$3:$M$1026,M222,$C$3:$C$1026,"&gt;"&amp;C222)=0,"CURRENT","SUPERSEDED"),"CURRENT"))</f>
        <v/>
      </c>
      <c r="O222" s="19" t="n"/>
    </row>
    <row r="223">
      <c r="A223" s="19" t="n"/>
      <c r="B223" s="20" t="inlineStr">
        <is>
          <t>4503-XH-DL-8631-8631-5041-CWR-02_Rev0</t>
        </is>
      </c>
      <c r="C223" s="21" t="n">
        <v>0</v>
      </c>
      <c r="D223" s="21" t="n">
        <v>46237</v>
      </c>
      <c r="E223" s="20" t="inlineStr">
        <is>
          <t>IFC-ISSUED FOR CONSTRUCTION</t>
        </is>
      </c>
      <c r="F223" s="21" t="n">
        <v>8631</v>
      </c>
      <c r="G223" s="20" t="inlineStr">
        <is>
          <t>PIPE B36.10/36.19 A333 6-SMLS BE BE</t>
        </is>
      </c>
      <c r="H223" s="20" t="inlineStr">
        <is>
          <t>A333</t>
        </is>
      </c>
      <c r="I223" s="22" t="n">
        <v>2</v>
      </c>
      <c r="J223" s="21" t="inlineStr">
        <is>
          <t>XS</t>
        </is>
      </c>
      <c r="K223" s="20" t="inlineStr">
        <is>
          <t>I64108762</t>
        </is>
      </c>
      <c r="L223" s="22" t="n">
        <v>2.5</v>
      </c>
      <c r="M223" s="20">
        <f>IFERROR(LEFT(B223,SEARCH("_Rev",B223)-1),B223)</f>
        <v/>
      </c>
      <c r="N223" s="20">
        <f>IF(B223="","",IF(ISNUMBER(C223),IF(COUNTIFS($M$3:$M$1026,M223,$C$3:$C$1026,"&gt;"&amp;C223)=0,"CURRENT","SUPERSEDED"),"CURRENT"))</f>
        <v/>
      </c>
      <c r="O223" s="19" t="n"/>
    </row>
    <row r="224">
      <c r="A224" s="19" t="n"/>
      <c r="B224" s="20" t="inlineStr">
        <is>
          <t>4503-XH-DL-8631-8631-5042-CWR-01_Rev0</t>
        </is>
      </c>
      <c r="C224" s="21" t="n">
        <v>0</v>
      </c>
      <c r="D224" s="21" t="n">
        <v>46237</v>
      </c>
      <c r="E224" s="20" t="inlineStr">
        <is>
          <t>IFC-ISSUED FOR CONSTRUCTION</t>
        </is>
      </c>
      <c r="F224" s="21" t="n">
        <v>8631</v>
      </c>
      <c r="G224" s="20" t="inlineStr">
        <is>
          <t>PIPE B36.10/36.19 A671 CC60 CL.22 S2 BE BE</t>
        </is>
      </c>
      <c r="H224" s="20" t="inlineStr">
        <is>
          <t>A671</t>
        </is>
      </c>
      <c r="I224" s="22" t="n">
        <v>28</v>
      </c>
      <c r="J224" s="21" t="inlineStr">
        <is>
          <t>XS</t>
        </is>
      </c>
      <c r="K224" s="20" t="inlineStr">
        <is>
          <t>I65622127</t>
        </is>
      </c>
      <c r="L224" s="22" t="n">
        <v>3.6</v>
      </c>
      <c r="M224" s="20">
        <f>IFERROR(LEFT(B224,SEARCH("_Rev",B224)-1),B224)</f>
        <v/>
      </c>
      <c r="N224" s="20">
        <f>IF(B224="","",IF(ISNUMBER(C224),IF(COUNTIFS($M$3:$M$1026,M224,$C$3:$C$1026,"&gt;"&amp;C224)=0,"CURRENT","SUPERSEDED"),"CURRENT"))</f>
        <v/>
      </c>
      <c r="O224" s="19" t="n"/>
    </row>
    <row r="225">
      <c r="A225" s="19" t="n"/>
      <c r="B225" s="20" t="inlineStr">
        <is>
          <t>4503-XH-DL-8631-8631-5043-CWR-01_Rev0</t>
        </is>
      </c>
      <c r="C225" s="21" t="n">
        <v>0</v>
      </c>
      <c r="D225" s="21" t="n">
        <v>46237</v>
      </c>
      <c r="E225" s="20" t="inlineStr">
        <is>
          <t>IFC-ISSUED FOR CONSTRUCTION</t>
        </is>
      </c>
      <c r="F225" s="21" t="n">
        <v>8631</v>
      </c>
      <c r="G225" s="20" t="inlineStr">
        <is>
          <t>PIPE B36.10/36.19 A671 CC60 CL.22 S2 BE BE</t>
        </is>
      </c>
      <c r="H225" s="20" t="inlineStr">
        <is>
          <t>A671</t>
        </is>
      </c>
      <c r="I225" s="22" t="n">
        <v>28</v>
      </c>
      <c r="J225" s="21" t="inlineStr">
        <is>
          <t>XS</t>
        </is>
      </c>
      <c r="K225" s="20" t="inlineStr">
        <is>
          <t>I65622127</t>
        </is>
      </c>
      <c r="L225" s="22" t="n">
        <v>3.6</v>
      </c>
      <c r="M225" s="20">
        <f>IFERROR(LEFT(B225,SEARCH("_Rev",B225)-1),B225)</f>
        <v/>
      </c>
      <c r="N225" s="20">
        <f>IF(B225="","",IF(ISNUMBER(C225),IF(COUNTIFS($M$3:$M$1026,M225,$C$3:$C$1026,"&gt;"&amp;C225)=0,"CURRENT","SUPERSEDED"),"CURRENT"))</f>
        <v/>
      </c>
      <c r="O225" s="19" t="n"/>
    </row>
    <row r="226">
      <c r="A226" s="19" t="n"/>
      <c r="B226" s="20" t="inlineStr">
        <is>
          <t>4503-XH-DL-8631-8631-5044-CWR-01_Rev0</t>
        </is>
      </c>
      <c r="C226" s="21" t="n">
        <v>0</v>
      </c>
      <c r="D226" s="21" t="n">
        <v>46237</v>
      </c>
      <c r="E226" s="20" t="inlineStr">
        <is>
          <t>IFC-ISSUED FOR CONSTRUCTION</t>
        </is>
      </c>
      <c r="F226" s="21" t="n">
        <v>8631</v>
      </c>
      <c r="G226" s="20" t="inlineStr">
        <is>
          <t>PIPE B36.10/36.19 A671 CC60 CL.22 S2 BE BE</t>
        </is>
      </c>
      <c r="H226" s="20" t="inlineStr">
        <is>
          <t>A671</t>
        </is>
      </c>
      <c r="I226" s="22" t="n">
        <v>32</v>
      </c>
      <c r="J226" s="21" t="inlineStr">
        <is>
          <t>XS</t>
        </is>
      </c>
      <c r="K226" s="20" t="inlineStr">
        <is>
          <t>I65622125</t>
        </is>
      </c>
      <c r="L226" s="22" t="n">
        <v>17.9</v>
      </c>
      <c r="M226" s="20">
        <f>IFERROR(LEFT(B226,SEARCH("_Rev",B226)-1),B226)</f>
        <v/>
      </c>
      <c r="N226" s="20">
        <f>IF(B226="","",IF(ISNUMBER(C226),IF(COUNTIFS($M$3:$M$1026,M226,$C$3:$C$1026,"&gt;"&amp;C226)=0,"CURRENT","SUPERSEDED"),"CURRENT"))</f>
        <v/>
      </c>
      <c r="O226" s="19" t="n"/>
    </row>
    <row r="227">
      <c r="A227" s="19" t="n"/>
      <c r="B227" s="20" t="inlineStr">
        <is>
          <t>4503-XH-DL-8631-8631-5044-CWR-03_Rev0</t>
        </is>
      </c>
      <c r="C227" s="21" t="n">
        <v>0</v>
      </c>
      <c r="D227" s="21" t="n">
        <v>46237</v>
      </c>
      <c r="E227" s="20" t="inlineStr">
        <is>
          <t>IFC-ISSUED FOR CONSTRUCTION</t>
        </is>
      </c>
      <c r="F227" s="21" t="n">
        <v>8631</v>
      </c>
      <c r="G227" s="20" t="inlineStr">
        <is>
          <t>PIPE B36.10/36.19 A333 6-SMLS BE BE</t>
        </is>
      </c>
      <c r="H227" s="20" t="inlineStr">
        <is>
          <t>A333</t>
        </is>
      </c>
      <c r="I227" s="22" t="n">
        <v>2</v>
      </c>
      <c r="J227" s="21" t="inlineStr">
        <is>
          <t>XS</t>
        </is>
      </c>
      <c r="K227" s="20" t="inlineStr">
        <is>
          <t>I64108762</t>
        </is>
      </c>
      <c r="L227" s="22" t="n">
        <v>0.6</v>
      </c>
      <c r="M227" s="20">
        <f>IFERROR(LEFT(B227,SEARCH("_Rev",B227)-1),B227)</f>
        <v/>
      </c>
      <c r="N227" s="20">
        <f>IF(B227="","",IF(ISNUMBER(C227),IF(COUNTIFS($M$3:$M$1026,M227,$C$3:$C$1026,"&gt;"&amp;C227)=0,"CURRENT","SUPERSEDED"),"CURRENT"))</f>
        <v/>
      </c>
      <c r="O227" s="19" t="n"/>
    </row>
    <row r="228">
      <c r="A228" s="19" t="n"/>
      <c r="B228" s="20" t="inlineStr">
        <is>
          <t>4503-XH-DL-8631-8631-5044-CWR-04_Rev0</t>
        </is>
      </c>
      <c r="C228" s="21" t="n">
        <v>0</v>
      </c>
      <c r="D228" s="21" t="n">
        <v>46237</v>
      </c>
      <c r="E228" s="20" t="inlineStr">
        <is>
          <t>IFC-ISSUED FOR CONSTRUCTION</t>
        </is>
      </c>
      <c r="F228" s="21" t="n">
        <v>8631</v>
      </c>
      <c r="G228" s="20" t="inlineStr">
        <is>
          <t>PIPE B36.10/36.19 A333 6-SMLS BE BE</t>
        </is>
      </c>
      <c r="H228" s="20" t="inlineStr">
        <is>
          <t>A333</t>
        </is>
      </c>
      <c r="I228" s="22" t="n">
        <v>2</v>
      </c>
      <c r="J228" s="21" t="inlineStr">
        <is>
          <t>XS</t>
        </is>
      </c>
      <c r="K228" s="20" t="inlineStr">
        <is>
          <t>I64108762</t>
        </is>
      </c>
      <c r="L228" s="22" t="n">
        <v>0.1</v>
      </c>
      <c r="M228" s="20">
        <f>IFERROR(LEFT(B228,SEARCH("_Rev",B228)-1),B228)</f>
        <v/>
      </c>
      <c r="N228" s="20">
        <f>IF(B228="","",IF(ISNUMBER(C228),IF(COUNTIFS($M$3:$M$1026,M228,$C$3:$C$1026,"&gt;"&amp;C228)=0,"CURRENT","SUPERSEDED"),"CURRENT"))</f>
        <v/>
      </c>
      <c r="O228" s="19" t="n"/>
    </row>
    <row r="229">
      <c r="A229" s="19" t="n"/>
      <c r="B229" s="20" t="inlineStr">
        <is>
          <t>4503-XH-DL-8631-8631-5044-CWR-05_Rev0</t>
        </is>
      </c>
      <c r="C229" s="21" t="n">
        <v>0</v>
      </c>
      <c r="D229" s="21" t="n">
        <v>46237</v>
      </c>
      <c r="E229" s="20" t="inlineStr">
        <is>
          <t>IFC-ISSUED FOR CONSTRUCTION</t>
        </is>
      </c>
      <c r="F229" s="21" t="n">
        <v>8631</v>
      </c>
      <c r="G229" s="20" t="inlineStr">
        <is>
          <t>PIPE B36.10/36.19 A333 6-SMLS BE BE</t>
        </is>
      </c>
      <c r="H229" s="20" t="inlineStr">
        <is>
          <t>A333</t>
        </is>
      </c>
      <c r="I229" s="22" t="n">
        <v>10</v>
      </c>
      <c r="J229" s="21" t="inlineStr">
        <is>
          <t>STD</t>
        </is>
      </c>
      <c r="K229" s="20" t="inlineStr">
        <is>
          <t>I64108754</t>
        </is>
      </c>
      <c r="L229" s="22" t="n">
        <v>0.2</v>
      </c>
      <c r="M229" s="20">
        <f>IFERROR(LEFT(B229,SEARCH("_Rev",B229)-1),B229)</f>
        <v/>
      </c>
      <c r="N229" s="20">
        <f>IF(B229="","",IF(ISNUMBER(C229),IF(COUNTIFS($M$3:$M$1026,M229,$C$3:$C$1026,"&gt;"&amp;C229)=0,"CURRENT","SUPERSEDED"),"CURRENT"))</f>
        <v/>
      </c>
      <c r="O229" s="19" t="n"/>
    </row>
    <row r="230">
      <c r="A230" s="19" t="n"/>
      <c r="B230" s="20" t="inlineStr">
        <is>
          <t>4503-XH-DL-8631-8631-5045-CWR-01_Rev0</t>
        </is>
      </c>
      <c r="C230" s="21" t="n">
        <v>0</v>
      </c>
      <c r="D230" s="21" t="n">
        <v>46237</v>
      </c>
      <c r="E230" s="20" t="inlineStr">
        <is>
          <t>IFC-ISSUED FOR CONSTRUCTION</t>
        </is>
      </c>
      <c r="F230" s="21" t="n">
        <v>8631</v>
      </c>
      <c r="G230" s="20" t="inlineStr">
        <is>
          <t>PIPE B36.10/36.19 A671 CC60 CL.22 S2 BE BE</t>
        </is>
      </c>
      <c r="H230" s="20" t="inlineStr">
        <is>
          <t>A671</t>
        </is>
      </c>
      <c r="I230" s="22" t="n">
        <v>32</v>
      </c>
      <c r="J230" s="21" t="inlineStr">
        <is>
          <t>XS</t>
        </is>
      </c>
      <c r="K230" s="20" t="inlineStr">
        <is>
          <t>I65622125</t>
        </is>
      </c>
      <c r="L230" s="22" t="n">
        <v>17.9</v>
      </c>
      <c r="M230" s="20">
        <f>IFERROR(LEFT(B230,SEARCH("_Rev",B230)-1),B230)</f>
        <v/>
      </c>
      <c r="N230" s="20">
        <f>IF(B230="","",IF(ISNUMBER(C230),IF(COUNTIFS($M$3:$M$1026,M230,$C$3:$C$1026,"&gt;"&amp;C230)=0,"CURRENT","SUPERSEDED"),"CURRENT"))</f>
        <v/>
      </c>
      <c r="O230" s="19" t="n"/>
    </row>
    <row r="231">
      <c r="A231" s="19" t="n"/>
      <c r="B231" s="20" t="inlineStr">
        <is>
          <t>4503-XH-DL-8631-8631-5045-CWR-03_Rev0</t>
        </is>
      </c>
      <c r="C231" s="21" t="n">
        <v>0</v>
      </c>
      <c r="D231" s="21" t="n">
        <v>46237</v>
      </c>
      <c r="E231" s="20" t="inlineStr">
        <is>
          <t>IFC-ISSUED FOR CONSTRUCTION</t>
        </is>
      </c>
      <c r="F231" s="21" t="n">
        <v>8631</v>
      </c>
      <c r="G231" s="20" t="inlineStr">
        <is>
          <t>PIPE B36.10/36.19 A333 6-SMLS BE BE</t>
        </is>
      </c>
      <c r="H231" s="20" t="inlineStr">
        <is>
          <t>A333</t>
        </is>
      </c>
      <c r="I231" s="22" t="n">
        <v>2</v>
      </c>
      <c r="J231" s="21" t="inlineStr">
        <is>
          <t>XS</t>
        </is>
      </c>
      <c r="K231" s="20" t="inlineStr">
        <is>
          <t>I64108762</t>
        </is>
      </c>
      <c r="L231" s="22" t="n">
        <v>0.6</v>
      </c>
      <c r="M231" s="20">
        <f>IFERROR(LEFT(B231,SEARCH("_Rev",B231)-1),B231)</f>
        <v/>
      </c>
      <c r="N231" s="20">
        <f>IF(B231="","",IF(ISNUMBER(C231),IF(COUNTIFS($M$3:$M$1026,M231,$C$3:$C$1026,"&gt;"&amp;C231)=0,"CURRENT","SUPERSEDED"),"CURRENT"))</f>
        <v/>
      </c>
      <c r="O231" s="19" t="n"/>
    </row>
    <row r="232">
      <c r="A232" s="19" t="n"/>
      <c r="B232" s="20" t="inlineStr">
        <is>
          <t>4503-XH-DL-8631-8631-5045-CWR-04_Rev0</t>
        </is>
      </c>
      <c r="C232" s="21" t="n">
        <v>0</v>
      </c>
      <c r="D232" s="21" t="n">
        <v>46237</v>
      </c>
      <c r="E232" s="20" t="inlineStr">
        <is>
          <t>IFC-ISSUED FOR CONSTRUCTION</t>
        </is>
      </c>
      <c r="F232" s="21" t="n">
        <v>8631</v>
      </c>
      <c r="G232" s="20" t="inlineStr">
        <is>
          <t>PIPE B36.10/36.19 A333 6-SMLS BE BE</t>
        </is>
      </c>
      <c r="H232" s="20" t="inlineStr">
        <is>
          <t>A333</t>
        </is>
      </c>
      <c r="I232" s="22" t="n">
        <v>2</v>
      </c>
      <c r="J232" s="21" t="inlineStr">
        <is>
          <t>XS</t>
        </is>
      </c>
      <c r="K232" s="20" t="inlineStr">
        <is>
          <t>I64108762</t>
        </is>
      </c>
      <c r="L232" s="22" t="n">
        <v>0.1</v>
      </c>
      <c r="M232" s="20">
        <f>IFERROR(LEFT(B232,SEARCH("_Rev",B232)-1),B232)</f>
        <v/>
      </c>
      <c r="N232" s="20">
        <f>IF(B232="","",IF(ISNUMBER(C232),IF(COUNTIFS($M$3:$M$1026,M232,$C$3:$C$1026,"&gt;"&amp;C232)=0,"CURRENT","SUPERSEDED"),"CURRENT"))</f>
        <v/>
      </c>
      <c r="O232" s="19" t="n"/>
    </row>
    <row r="233">
      <c r="A233" s="19" t="n"/>
      <c r="B233" s="20" t="inlineStr">
        <is>
          <t>4503-XH-DL-8631-8631-5045-CWR-05_Rev0</t>
        </is>
      </c>
      <c r="C233" s="21" t="n">
        <v>0</v>
      </c>
      <c r="D233" s="21" t="n">
        <v>46237</v>
      </c>
      <c r="E233" s="20" t="inlineStr">
        <is>
          <t>IFC-ISSUED FOR CONSTRUCTION</t>
        </is>
      </c>
      <c r="F233" s="21" t="n">
        <v>8631</v>
      </c>
      <c r="G233" s="20" t="inlineStr">
        <is>
          <t>PIPE B36.10/36.19 A333 6-SMLS BE BE</t>
        </is>
      </c>
      <c r="H233" s="20" t="inlineStr">
        <is>
          <t>A333</t>
        </is>
      </c>
      <c r="I233" s="22" t="n">
        <v>10</v>
      </c>
      <c r="J233" s="21" t="inlineStr">
        <is>
          <t>STD</t>
        </is>
      </c>
      <c r="K233" s="20" t="inlineStr">
        <is>
          <t>I64108754</t>
        </is>
      </c>
      <c r="L233" s="22" t="n">
        <v>0.2</v>
      </c>
      <c r="M233" s="20">
        <f>IFERROR(LEFT(B233,SEARCH("_Rev",B233)-1),B233)</f>
        <v/>
      </c>
      <c r="N233" s="20">
        <f>IF(B233="","",IF(ISNUMBER(C233),IF(COUNTIFS($M$3:$M$1026,M233,$C$3:$C$1026,"&gt;"&amp;C233)=0,"CURRENT","SUPERSEDED"),"CURRENT"))</f>
        <v/>
      </c>
      <c r="O233" s="19" t="n"/>
    </row>
    <row r="234">
      <c r="A234" s="19" t="n"/>
      <c r="B234" s="20" t="inlineStr">
        <is>
          <t>4503-XH-DL-8631-8631-5047-CWR-01_Rev0</t>
        </is>
      </c>
      <c r="C234" s="21" t="n">
        <v>0</v>
      </c>
      <c r="D234" s="21" t="n">
        <v>46237</v>
      </c>
      <c r="E234" s="20" t="inlineStr">
        <is>
          <t>IFC-ISSUED FOR CONSTRUCTION</t>
        </is>
      </c>
      <c r="F234" s="21" t="n">
        <v>8631</v>
      </c>
      <c r="G234" s="20" t="inlineStr">
        <is>
          <t>PIPE B36.10/36.19 A333 6-SMLS BE BE</t>
        </is>
      </c>
      <c r="H234" s="20" t="inlineStr">
        <is>
          <t>A333</t>
        </is>
      </c>
      <c r="I234" s="22" t="n">
        <v>6</v>
      </c>
      <c r="J234" s="21" t="inlineStr">
        <is>
          <t>STD</t>
        </is>
      </c>
      <c r="K234" s="20" t="inlineStr">
        <is>
          <t>I63649156</t>
        </is>
      </c>
      <c r="L234" s="22" t="n">
        <v>9.9</v>
      </c>
      <c r="M234" s="20">
        <f>IFERROR(LEFT(B234,SEARCH("_Rev",B234)-1),B234)</f>
        <v/>
      </c>
      <c r="N234" s="20">
        <f>IF(B234="","",IF(ISNUMBER(C234),IF(COUNTIFS($M$3:$M$1026,M234,$C$3:$C$1026,"&gt;"&amp;C234)=0,"CURRENT","SUPERSEDED"),"CURRENT"))</f>
        <v/>
      </c>
      <c r="O234" s="19" t="n"/>
    </row>
    <row r="235">
      <c r="A235" s="19" t="n"/>
      <c r="B235" s="20" t="inlineStr">
        <is>
          <t>4503-XH-DL-8631-8631-5047-CWR-01_Rev0</t>
        </is>
      </c>
      <c r="C235" s="21" t="n">
        <v>0</v>
      </c>
      <c r="D235" s="21" t="n">
        <v>46237</v>
      </c>
      <c r="E235" s="20" t="inlineStr">
        <is>
          <t>IFC-ISSUED FOR CONSTRUCTION</t>
        </is>
      </c>
      <c r="F235" s="21" t="n">
        <v>8631</v>
      </c>
      <c r="G235" s="20" t="inlineStr">
        <is>
          <t>PIPE B36.10/36.19 A333 6-SMLS BE BE</t>
        </is>
      </c>
      <c r="H235" s="20" t="inlineStr">
        <is>
          <t>A333</t>
        </is>
      </c>
      <c r="I235" s="22" t="n">
        <v>2</v>
      </c>
      <c r="J235" s="21" t="inlineStr">
        <is>
          <t>XS</t>
        </is>
      </c>
      <c r="K235" s="20" t="inlineStr">
        <is>
          <t>I64108762</t>
        </is>
      </c>
      <c r="L235" s="22" t="n">
        <v>1.1</v>
      </c>
      <c r="M235" s="20">
        <f>IFERROR(LEFT(B235,SEARCH("_Rev",B235)-1),B235)</f>
        <v/>
      </c>
      <c r="N235" s="20">
        <f>IF(B235="","",IF(ISNUMBER(C235),IF(COUNTIFS($M$3:$M$1026,M235,$C$3:$C$1026,"&gt;"&amp;C235)=0,"CURRENT","SUPERSEDED"),"CURRENT"))</f>
        <v/>
      </c>
      <c r="O235" s="19" t="n"/>
    </row>
    <row r="236">
      <c r="A236" s="19" t="n"/>
      <c r="B236" s="20" t="inlineStr">
        <is>
          <t>4503-XH-DL-8631-8631-5047-CWR-02_Rev0</t>
        </is>
      </c>
      <c r="C236" s="21" t="n">
        <v>0</v>
      </c>
      <c r="D236" s="21" t="n">
        <v>46237</v>
      </c>
      <c r="E236" s="20" t="inlineStr">
        <is>
          <t>IFC-ISSUED FOR CONSTRUCTION</t>
        </is>
      </c>
      <c r="F236" s="21" t="n">
        <v>8631</v>
      </c>
      <c r="G236" s="20" t="inlineStr">
        <is>
          <t>PIPE B36.10/36.19 A333 6-SMLS BE BE</t>
        </is>
      </c>
      <c r="H236" s="20" t="inlineStr">
        <is>
          <t>A333</t>
        </is>
      </c>
      <c r="I236" s="22" t="n">
        <v>2</v>
      </c>
      <c r="J236" s="21" t="inlineStr">
        <is>
          <t>XS</t>
        </is>
      </c>
      <c r="K236" s="20" t="inlineStr">
        <is>
          <t>I64108762</t>
        </is>
      </c>
      <c r="L236" s="22" t="n">
        <v>2.5</v>
      </c>
      <c r="M236" s="20">
        <f>IFERROR(LEFT(B236,SEARCH("_Rev",B236)-1),B236)</f>
        <v/>
      </c>
      <c r="N236" s="20">
        <f>IF(B236="","",IF(ISNUMBER(C236),IF(COUNTIFS($M$3:$M$1026,M236,$C$3:$C$1026,"&gt;"&amp;C236)=0,"CURRENT","SUPERSEDED"),"CURRENT"))</f>
        <v/>
      </c>
      <c r="O236" s="19" t="n"/>
    </row>
    <row r="237">
      <c r="A237" s="19" t="n"/>
      <c r="B237" s="20" t="inlineStr">
        <is>
          <t>4503-XH-DL-8631-8631-5048-CWR-01_Rev0</t>
        </is>
      </c>
      <c r="C237" s="21" t="n">
        <v>0</v>
      </c>
      <c r="D237" s="21" t="n">
        <v>46237</v>
      </c>
      <c r="E237" s="20" t="inlineStr">
        <is>
          <t>IFC-ISSUED FOR CONSTRUCTION</t>
        </is>
      </c>
      <c r="F237" s="21" t="n">
        <v>8631</v>
      </c>
      <c r="G237" s="20" t="inlineStr">
        <is>
          <t>PIPE B36.10/36.19 A671 CC60 CL.22 S2 BE BE</t>
        </is>
      </c>
      <c r="H237" s="20" t="inlineStr">
        <is>
          <t>A671</t>
        </is>
      </c>
      <c r="I237" s="22" t="n">
        <v>28</v>
      </c>
      <c r="J237" s="21" t="inlineStr">
        <is>
          <t>XS</t>
        </is>
      </c>
      <c r="K237" s="20" t="inlineStr">
        <is>
          <t>I65622127</t>
        </is>
      </c>
      <c r="L237" s="22" t="n">
        <v>3.6</v>
      </c>
      <c r="M237" s="20">
        <f>IFERROR(LEFT(B237,SEARCH("_Rev",B237)-1),B237)</f>
        <v/>
      </c>
      <c r="N237" s="20">
        <f>IF(B237="","",IF(ISNUMBER(C237),IF(COUNTIFS($M$3:$M$1026,M237,$C$3:$C$1026,"&gt;"&amp;C237)=0,"CURRENT","SUPERSEDED"),"CURRENT"))</f>
        <v/>
      </c>
      <c r="O237" s="19" t="n"/>
    </row>
    <row r="238">
      <c r="A238" s="19" t="n"/>
      <c r="B238" s="20" t="inlineStr">
        <is>
          <t>4503-XH-DL-8631-8631-5049-CWR-01_Rev0</t>
        </is>
      </c>
      <c r="C238" s="21" t="n">
        <v>0</v>
      </c>
      <c r="D238" s="21" t="n">
        <v>46237</v>
      </c>
      <c r="E238" s="20" t="inlineStr">
        <is>
          <t>IFC-ISSUED FOR CONSTRUCTION</t>
        </is>
      </c>
      <c r="F238" s="21" t="n">
        <v>8631</v>
      </c>
      <c r="G238" s="20" t="inlineStr">
        <is>
          <t>PIPE B36.10/36.19 A333 6-SMLS BE BE</t>
        </is>
      </c>
      <c r="H238" s="20" t="inlineStr">
        <is>
          <t>A333</t>
        </is>
      </c>
      <c r="I238" s="22" t="n">
        <v>6</v>
      </c>
      <c r="J238" s="21" t="inlineStr">
        <is>
          <t>STD</t>
        </is>
      </c>
      <c r="K238" s="20" t="inlineStr">
        <is>
          <t>I63649156</t>
        </is>
      </c>
      <c r="L238" s="22" t="n">
        <v>9.800000000000001</v>
      </c>
      <c r="M238" s="20">
        <f>IFERROR(LEFT(B238,SEARCH("_Rev",B238)-1),B238)</f>
        <v/>
      </c>
      <c r="N238" s="20">
        <f>IF(B238="","",IF(ISNUMBER(C238),IF(COUNTIFS($M$3:$M$1026,M238,$C$3:$C$1026,"&gt;"&amp;C238)=0,"CURRENT","SUPERSEDED"),"CURRENT"))</f>
        <v/>
      </c>
      <c r="O238" s="19" t="n"/>
    </row>
    <row r="239">
      <c r="A239" s="19" t="n"/>
      <c r="B239" s="20" t="inlineStr">
        <is>
          <t>4503-XH-DL-8631-8631-5049-CWR-01_Rev0</t>
        </is>
      </c>
      <c r="C239" s="21" t="n">
        <v>0</v>
      </c>
      <c r="D239" s="21" t="n">
        <v>46237</v>
      </c>
      <c r="E239" s="20" t="inlineStr">
        <is>
          <t>IFC-ISSUED FOR CONSTRUCTION</t>
        </is>
      </c>
      <c r="F239" s="21" t="n">
        <v>8631</v>
      </c>
      <c r="G239" s="20" t="inlineStr">
        <is>
          <t>PIPE B36.10/36.19 A333 6-SMLS BE BE</t>
        </is>
      </c>
      <c r="H239" s="20" t="inlineStr">
        <is>
          <t>A333</t>
        </is>
      </c>
      <c r="I239" s="22" t="n">
        <v>2</v>
      </c>
      <c r="J239" s="21" t="inlineStr">
        <is>
          <t>XS</t>
        </is>
      </c>
      <c r="K239" s="20" t="inlineStr">
        <is>
          <t>I64108762</t>
        </is>
      </c>
      <c r="L239" s="22" t="n">
        <v>1.1</v>
      </c>
      <c r="M239" s="20">
        <f>IFERROR(LEFT(B239,SEARCH("_Rev",B239)-1),B239)</f>
        <v/>
      </c>
      <c r="N239" s="20">
        <f>IF(B239="","",IF(ISNUMBER(C239),IF(COUNTIFS($M$3:$M$1026,M239,$C$3:$C$1026,"&gt;"&amp;C239)=0,"CURRENT","SUPERSEDED"),"CURRENT"))</f>
        <v/>
      </c>
      <c r="O239" s="19" t="n"/>
    </row>
    <row r="240">
      <c r="A240" s="19" t="n"/>
      <c r="B240" s="20" t="inlineStr">
        <is>
          <t>4503-XH-DL-8631-8631-5049-CWR-02_Rev0</t>
        </is>
      </c>
      <c r="C240" s="21" t="n">
        <v>0</v>
      </c>
      <c r="D240" s="21" t="n">
        <v>46237</v>
      </c>
      <c r="E240" s="20" t="inlineStr">
        <is>
          <t>IFC-ISSUED FOR CONSTRUCTION</t>
        </is>
      </c>
      <c r="F240" s="21" t="n">
        <v>8631</v>
      </c>
      <c r="G240" s="20" t="inlineStr">
        <is>
          <t>PIPE B36.10/36.19 A333 6-SMLS BE BE</t>
        </is>
      </c>
      <c r="H240" s="20" t="inlineStr">
        <is>
          <t>A333</t>
        </is>
      </c>
      <c r="I240" s="22" t="n">
        <v>2</v>
      </c>
      <c r="J240" s="21" t="inlineStr">
        <is>
          <t>XS</t>
        </is>
      </c>
      <c r="K240" s="20" t="inlineStr">
        <is>
          <t>I64108762</t>
        </is>
      </c>
      <c r="L240" s="22" t="n">
        <v>2.5</v>
      </c>
      <c r="M240" s="20">
        <f>IFERROR(LEFT(B240,SEARCH("_Rev",B240)-1),B240)</f>
        <v/>
      </c>
      <c r="N240" s="20">
        <f>IF(B240="","",IF(ISNUMBER(C240),IF(COUNTIFS($M$3:$M$1026,M240,$C$3:$C$1026,"&gt;"&amp;C240)=0,"CURRENT","SUPERSEDED"),"CURRENT"))</f>
        <v/>
      </c>
      <c r="O240" s="19" t="n"/>
    </row>
    <row r="241">
      <c r="A241" s="19" t="n"/>
      <c r="B241" s="20" t="inlineStr">
        <is>
          <t>4503-XH-DL-8631-8631-5050-CWR-01_Rev0</t>
        </is>
      </c>
      <c r="C241" s="21" t="n">
        <v>0</v>
      </c>
      <c r="D241" s="21" t="n">
        <v>46237</v>
      </c>
      <c r="E241" s="20" t="inlineStr">
        <is>
          <t>IFC-ISSUED FOR CONSTRUCTION</t>
        </is>
      </c>
      <c r="F241" s="21" t="n">
        <v>8631</v>
      </c>
      <c r="G241" s="20" t="inlineStr">
        <is>
          <t>PIPE B36.10/36.19 A333 6-SMLS BE BE</t>
        </is>
      </c>
      <c r="H241" s="20" t="inlineStr">
        <is>
          <t>A333</t>
        </is>
      </c>
      <c r="I241" s="22" t="n">
        <v>6</v>
      </c>
      <c r="J241" s="21" t="inlineStr">
        <is>
          <t>STD</t>
        </is>
      </c>
      <c r="K241" s="20" t="inlineStr">
        <is>
          <t>I63649156</t>
        </is>
      </c>
      <c r="L241" s="22" t="n">
        <v>9.800000000000001</v>
      </c>
      <c r="M241" s="20">
        <f>IFERROR(LEFT(B241,SEARCH("_Rev",B241)-1),B241)</f>
        <v/>
      </c>
      <c r="N241" s="20">
        <f>IF(B241="","",IF(ISNUMBER(C241),IF(COUNTIFS($M$3:$M$1026,M241,$C$3:$C$1026,"&gt;"&amp;C241)=0,"CURRENT","SUPERSEDED"),"CURRENT"))</f>
        <v/>
      </c>
      <c r="O241" s="19" t="n"/>
    </row>
    <row r="242">
      <c r="A242" s="19" t="n"/>
      <c r="B242" s="20" t="inlineStr">
        <is>
          <t>4503-XH-DL-8631-8631-5050-CWR-01_Rev0</t>
        </is>
      </c>
      <c r="C242" s="21" t="n">
        <v>0</v>
      </c>
      <c r="D242" s="21" t="n">
        <v>46237</v>
      </c>
      <c r="E242" s="20" t="inlineStr">
        <is>
          <t>IFC-ISSUED FOR CONSTRUCTION</t>
        </is>
      </c>
      <c r="F242" s="21" t="n">
        <v>8631</v>
      </c>
      <c r="G242" s="20" t="inlineStr">
        <is>
          <t>PIPE B36.10/36.19 A333 6-SMLS BE BE</t>
        </is>
      </c>
      <c r="H242" s="20" t="inlineStr">
        <is>
          <t>A333</t>
        </is>
      </c>
      <c r="I242" s="22" t="n">
        <v>2</v>
      </c>
      <c r="J242" s="21" t="inlineStr">
        <is>
          <t>XS</t>
        </is>
      </c>
      <c r="K242" s="20" t="inlineStr">
        <is>
          <t>I64108762</t>
        </is>
      </c>
      <c r="L242" s="22" t="n">
        <v>1.1</v>
      </c>
      <c r="M242" s="20">
        <f>IFERROR(LEFT(B242,SEARCH("_Rev",B242)-1),B242)</f>
        <v/>
      </c>
      <c r="N242" s="20">
        <f>IF(B242="","",IF(ISNUMBER(C242),IF(COUNTIFS($M$3:$M$1026,M242,$C$3:$C$1026,"&gt;"&amp;C242)=0,"CURRENT","SUPERSEDED"),"CURRENT"))</f>
        <v/>
      </c>
      <c r="O242" s="19" t="n"/>
    </row>
    <row r="243">
      <c r="A243" s="19" t="n"/>
      <c r="B243" s="20" t="inlineStr">
        <is>
          <t>4503-XH-DL-8631-8631-5050-CWR-02_Rev0</t>
        </is>
      </c>
      <c r="C243" s="21" t="n">
        <v>0</v>
      </c>
      <c r="D243" s="21" t="n">
        <v>46237</v>
      </c>
      <c r="E243" s="20" t="inlineStr">
        <is>
          <t>IFC-ISSUED FOR CONSTRUCTION</t>
        </is>
      </c>
      <c r="F243" s="21" t="n">
        <v>8631</v>
      </c>
      <c r="G243" s="20" t="inlineStr">
        <is>
          <t>PIPE B36.10/36.19 A333 6-SMLS BE BE</t>
        </is>
      </c>
      <c r="H243" s="20" t="inlineStr">
        <is>
          <t>A333</t>
        </is>
      </c>
      <c r="I243" s="22" t="n">
        <v>2</v>
      </c>
      <c r="J243" s="21" t="inlineStr">
        <is>
          <t>XS</t>
        </is>
      </c>
      <c r="K243" s="20" t="inlineStr">
        <is>
          <t>I64108762</t>
        </is>
      </c>
      <c r="L243" s="22" t="n">
        <v>2.5</v>
      </c>
      <c r="M243" s="20">
        <f>IFERROR(LEFT(B243,SEARCH("_Rev",B243)-1),B243)</f>
        <v/>
      </c>
      <c r="N243" s="20">
        <f>IF(B243="","",IF(ISNUMBER(C243),IF(COUNTIFS($M$3:$M$1026,M243,$C$3:$C$1026,"&gt;"&amp;C243)=0,"CURRENT","SUPERSEDED"),"CURRENT"))</f>
        <v/>
      </c>
      <c r="O243" s="19" t="n"/>
    </row>
    <row r="244">
      <c r="A244" s="19" t="n"/>
      <c r="B244" s="20" t="inlineStr">
        <is>
          <t>4503-XH-DL-8631-8631-5051-CWR-01_Rev0</t>
        </is>
      </c>
      <c r="C244" s="21" t="n">
        <v>0</v>
      </c>
      <c r="D244" s="21" t="n">
        <v>46237</v>
      </c>
      <c r="E244" s="20" t="inlineStr">
        <is>
          <t>IFC-ISSUED FOR CONSTRUCTION</t>
        </is>
      </c>
      <c r="F244" s="21" t="n">
        <v>8631</v>
      </c>
      <c r="G244" s="20" t="inlineStr">
        <is>
          <t>PIPE B36.10/36.19 A671 CC60 CL.22 S2 BE BE</t>
        </is>
      </c>
      <c r="H244" s="20" t="inlineStr">
        <is>
          <t>A671</t>
        </is>
      </c>
      <c r="I244" s="22" t="n">
        <v>32</v>
      </c>
      <c r="J244" s="21" t="inlineStr">
        <is>
          <t>XS</t>
        </is>
      </c>
      <c r="K244" s="20" t="inlineStr">
        <is>
          <t>I65622125</t>
        </is>
      </c>
      <c r="L244" s="22" t="n">
        <v>17.9</v>
      </c>
      <c r="M244" s="20">
        <f>IFERROR(LEFT(B244,SEARCH("_Rev",B244)-1),B244)</f>
        <v/>
      </c>
      <c r="N244" s="20">
        <f>IF(B244="","",IF(ISNUMBER(C244),IF(COUNTIFS($M$3:$M$1026,M244,$C$3:$C$1026,"&gt;"&amp;C244)=0,"CURRENT","SUPERSEDED"),"CURRENT"))</f>
        <v/>
      </c>
      <c r="O244" s="19" t="n"/>
    </row>
    <row r="245">
      <c r="A245" s="19" t="n"/>
      <c r="B245" s="20" t="inlineStr">
        <is>
          <t>4503-XH-DL-8631-8631-5051-CWR-03_Rev0</t>
        </is>
      </c>
      <c r="C245" s="21" t="n">
        <v>0</v>
      </c>
      <c r="D245" s="21" t="n">
        <v>46237</v>
      </c>
      <c r="E245" s="20" t="inlineStr">
        <is>
          <t>IFC-ISSUED FOR CONSTRUCTION</t>
        </is>
      </c>
      <c r="F245" s="21" t="n">
        <v>8631</v>
      </c>
      <c r="G245" s="20" t="inlineStr">
        <is>
          <t>PIPE B36.10/36.19 A333 6-SMLS BE BE</t>
        </is>
      </c>
      <c r="H245" s="20" t="inlineStr">
        <is>
          <t>A333</t>
        </is>
      </c>
      <c r="I245" s="22" t="n">
        <v>2</v>
      </c>
      <c r="J245" s="21" t="inlineStr">
        <is>
          <t>XS</t>
        </is>
      </c>
      <c r="K245" s="20" t="inlineStr">
        <is>
          <t>I64108762</t>
        </is>
      </c>
      <c r="L245" s="22" t="n">
        <v>0.6</v>
      </c>
      <c r="M245" s="20">
        <f>IFERROR(LEFT(B245,SEARCH("_Rev",B245)-1),B245)</f>
        <v/>
      </c>
      <c r="N245" s="20">
        <f>IF(B245="","",IF(ISNUMBER(C245),IF(COUNTIFS($M$3:$M$1026,M245,$C$3:$C$1026,"&gt;"&amp;C245)=0,"CURRENT","SUPERSEDED"),"CURRENT"))</f>
        <v/>
      </c>
      <c r="O245" s="19" t="n"/>
    </row>
    <row r="246">
      <c r="A246" s="19" t="n"/>
      <c r="B246" s="20" t="inlineStr">
        <is>
          <t>4503-XH-DL-8631-8631-5051-CWR-04_Rev0</t>
        </is>
      </c>
      <c r="C246" s="21" t="n">
        <v>0</v>
      </c>
      <c r="D246" s="21" t="n">
        <v>46237</v>
      </c>
      <c r="E246" s="20" t="inlineStr">
        <is>
          <t>IFC-ISSUED FOR CONSTRUCTION</t>
        </is>
      </c>
      <c r="F246" s="21" t="n">
        <v>8631</v>
      </c>
      <c r="G246" s="20" t="inlineStr">
        <is>
          <t>PIPE B36.10/36.19 A333 6-SMLS BE BE</t>
        </is>
      </c>
      <c r="H246" s="20" t="inlineStr">
        <is>
          <t>A333</t>
        </is>
      </c>
      <c r="I246" s="22" t="n">
        <v>2</v>
      </c>
      <c r="J246" s="21" t="inlineStr">
        <is>
          <t>XS</t>
        </is>
      </c>
      <c r="K246" s="20" t="inlineStr">
        <is>
          <t>I64108762</t>
        </is>
      </c>
      <c r="L246" s="22" t="n">
        <v>0.1</v>
      </c>
      <c r="M246" s="20">
        <f>IFERROR(LEFT(B246,SEARCH("_Rev",B246)-1),B246)</f>
        <v/>
      </c>
      <c r="N246" s="20">
        <f>IF(B246="","",IF(ISNUMBER(C246),IF(COUNTIFS($M$3:$M$1026,M246,$C$3:$C$1026,"&gt;"&amp;C246)=0,"CURRENT","SUPERSEDED"),"CURRENT"))</f>
        <v/>
      </c>
      <c r="O246" s="19" t="n"/>
    </row>
    <row r="247">
      <c r="A247" s="19" t="n"/>
      <c r="B247" s="20" t="inlineStr">
        <is>
          <t>4503-XH-DL-8631-8631-5051-CWR-05_Rev0</t>
        </is>
      </c>
      <c r="C247" s="21" t="n">
        <v>0</v>
      </c>
      <c r="D247" s="21" t="n">
        <v>46237</v>
      </c>
      <c r="E247" s="20" t="inlineStr">
        <is>
          <t>IFC-ISSUED FOR CONSTRUCTION</t>
        </is>
      </c>
      <c r="F247" s="21" t="n">
        <v>8631</v>
      </c>
      <c r="G247" s="20" t="inlineStr">
        <is>
          <t>PIPE B36.10/36.19 A333 6-SMLS BE BE</t>
        </is>
      </c>
      <c r="H247" s="20" t="inlineStr">
        <is>
          <t>A333</t>
        </is>
      </c>
      <c r="I247" s="22" t="n">
        <v>10</v>
      </c>
      <c r="J247" s="21" t="inlineStr">
        <is>
          <t>STD</t>
        </is>
      </c>
      <c r="K247" s="20" t="inlineStr">
        <is>
          <t>I64108754</t>
        </is>
      </c>
      <c r="L247" s="22" t="n">
        <v>0.2</v>
      </c>
      <c r="M247" s="20">
        <f>IFERROR(LEFT(B247,SEARCH("_Rev",B247)-1),B247)</f>
        <v/>
      </c>
      <c r="N247" s="20">
        <f>IF(B247="","",IF(ISNUMBER(C247),IF(COUNTIFS($M$3:$M$1026,M247,$C$3:$C$1026,"&gt;"&amp;C247)=0,"CURRENT","SUPERSEDED"),"CURRENT"))</f>
        <v/>
      </c>
      <c r="O247" s="19" t="n"/>
    </row>
    <row r="248">
      <c r="A248" s="19" t="n"/>
      <c r="B248" s="20" t="inlineStr">
        <is>
          <t>4503-XH-DL-8631-8631-5052-CWR-01_Rev0</t>
        </is>
      </c>
      <c r="C248" s="21" t="n">
        <v>0</v>
      </c>
      <c r="D248" s="21" t="n">
        <v>46237</v>
      </c>
      <c r="E248" s="20" t="inlineStr">
        <is>
          <t>IFC-ISSUED FOR CONSTRUCTION</t>
        </is>
      </c>
      <c r="F248" s="21" t="n">
        <v>8631</v>
      </c>
      <c r="G248" s="20" t="inlineStr">
        <is>
          <t>PIPE B36.10/36.19 A671 CC60 CL.22 S2 BE BE</t>
        </is>
      </c>
      <c r="H248" s="20" t="inlineStr">
        <is>
          <t>A671</t>
        </is>
      </c>
      <c r="I248" s="22" t="n">
        <v>28</v>
      </c>
      <c r="J248" s="21" t="inlineStr">
        <is>
          <t>XS</t>
        </is>
      </c>
      <c r="K248" s="20" t="inlineStr">
        <is>
          <t>I65622127</t>
        </is>
      </c>
      <c r="L248" s="22" t="n">
        <v>3.6</v>
      </c>
      <c r="M248" s="20">
        <f>IFERROR(LEFT(B248,SEARCH("_Rev",B248)-1),B248)</f>
        <v/>
      </c>
      <c r="N248" s="20">
        <f>IF(B248="","",IF(ISNUMBER(C248),IF(COUNTIFS($M$3:$M$1026,M248,$C$3:$C$1026,"&gt;"&amp;C248)=0,"CURRENT","SUPERSEDED"),"CURRENT"))</f>
        <v/>
      </c>
      <c r="O248" s="19" t="n"/>
    </row>
    <row r="249">
      <c r="A249" s="19" t="n"/>
      <c r="B249" s="20" t="inlineStr">
        <is>
          <t>4503-XH-DL-8631-8631-5053-CWR-01_Rev0</t>
        </is>
      </c>
      <c r="C249" s="21" t="n">
        <v>0</v>
      </c>
      <c r="D249" s="21" t="n">
        <v>46237</v>
      </c>
      <c r="E249" s="20" t="inlineStr">
        <is>
          <t>IFC-ISSUED FOR CONSTRUCTION</t>
        </is>
      </c>
      <c r="F249" s="21" t="n">
        <v>8631</v>
      </c>
      <c r="G249" s="20" t="inlineStr">
        <is>
          <t>PIPE B36.10/36.19 A671 CC60 CL.22 S2 BE BE</t>
        </is>
      </c>
      <c r="H249" s="20" t="inlineStr">
        <is>
          <t>A671</t>
        </is>
      </c>
      <c r="I249" s="22" t="n">
        <v>32</v>
      </c>
      <c r="J249" s="21" t="inlineStr">
        <is>
          <t>XS</t>
        </is>
      </c>
      <c r="K249" s="20" t="inlineStr">
        <is>
          <t>I65622125</t>
        </is>
      </c>
      <c r="L249" s="22" t="n">
        <v>17.9</v>
      </c>
      <c r="M249" s="20">
        <f>IFERROR(LEFT(B249,SEARCH("_Rev",B249)-1),B249)</f>
        <v/>
      </c>
      <c r="N249" s="20">
        <f>IF(B249="","",IF(ISNUMBER(C249),IF(COUNTIFS($M$3:$M$1026,M249,$C$3:$C$1026,"&gt;"&amp;C249)=0,"CURRENT","SUPERSEDED"),"CURRENT"))</f>
        <v/>
      </c>
      <c r="O249" s="19" t="n"/>
    </row>
    <row r="250">
      <c r="A250" s="19" t="n"/>
      <c r="B250" s="20" t="inlineStr">
        <is>
          <t>4503-XH-DL-8631-8631-5053-CWR-03_Rev0</t>
        </is>
      </c>
      <c r="C250" s="21" t="n">
        <v>0</v>
      </c>
      <c r="D250" s="21" t="n">
        <v>46237</v>
      </c>
      <c r="E250" s="20" t="inlineStr">
        <is>
          <t>IFC-ISSUED FOR CONSTRUCTION</t>
        </is>
      </c>
      <c r="F250" s="21" t="n">
        <v>8631</v>
      </c>
      <c r="G250" s="20" t="inlineStr">
        <is>
          <t>PIPE B36.10/36.19 A333 6-SMLS BE BE</t>
        </is>
      </c>
      <c r="H250" s="20" t="inlineStr">
        <is>
          <t>A333</t>
        </is>
      </c>
      <c r="I250" s="22" t="n">
        <v>2</v>
      </c>
      <c r="J250" s="21" t="inlineStr">
        <is>
          <t>XS</t>
        </is>
      </c>
      <c r="K250" s="20" t="inlineStr">
        <is>
          <t>I64108762</t>
        </is>
      </c>
      <c r="L250" s="22" t="n">
        <v>0.6</v>
      </c>
      <c r="M250" s="20">
        <f>IFERROR(LEFT(B250,SEARCH("_Rev",B250)-1),B250)</f>
        <v/>
      </c>
      <c r="N250" s="20">
        <f>IF(B250="","",IF(ISNUMBER(C250),IF(COUNTIFS($M$3:$M$1026,M250,$C$3:$C$1026,"&gt;"&amp;C250)=0,"CURRENT","SUPERSEDED"),"CURRENT"))</f>
        <v/>
      </c>
      <c r="O250" s="19" t="n"/>
    </row>
    <row r="251">
      <c r="A251" s="19" t="n"/>
      <c r="B251" s="20" t="inlineStr">
        <is>
          <t>4503-XH-DL-8631-8631-5053-CWR-04_Rev0</t>
        </is>
      </c>
      <c r="C251" s="21" t="n">
        <v>0</v>
      </c>
      <c r="D251" s="21" t="n">
        <v>46237</v>
      </c>
      <c r="E251" s="20" t="inlineStr">
        <is>
          <t>IFC-ISSUED FOR CONSTRUCTION</t>
        </is>
      </c>
      <c r="F251" s="21" t="n">
        <v>8631</v>
      </c>
      <c r="G251" s="20" t="inlineStr">
        <is>
          <t>PIPE B36.10/36.19 A333 6-SMLS BE BE</t>
        </is>
      </c>
      <c r="H251" s="20" t="inlineStr">
        <is>
          <t>A333</t>
        </is>
      </c>
      <c r="I251" s="22" t="n">
        <v>2</v>
      </c>
      <c r="J251" s="21" t="inlineStr">
        <is>
          <t>XS</t>
        </is>
      </c>
      <c r="K251" s="20" t="inlineStr">
        <is>
          <t>I64108762</t>
        </is>
      </c>
      <c r="L251" s="22" t="n">
        <v>0.1</v>
      </c>
      <c r="M251" s="20">
        <f>IFERROR(LEFT(B251,SEARCH("_Rev",B251)-1),B251)</f>
        <v/>
      </c>
      <c r="N251" s="20">
        <f>IF(B251="","",IF(ISNUMBER(C251),IF(COUNTIFS($M$3:$M$1026,M251,$C$3:$C$1026,"&gt;"&amp;C251)=0,"CURRENT","SUPERSEDED"),"CURRENT"))</f>
        <v/>
      </c>
      <c r="O251" s="19" t="n"/>
    </row>
    <row r="252">
      <c r="A252" s="19" t="n"/>
      <c r="B252" s="20" t="inlineStr">
        <is>
          <t>4503-XH-DL-8631-8631-5053-CWR-05_Rev0</t>
        </is>
      </c>
      <c r="C252" s="21" t="n">
        <v>0</v>
      </c>
      <c r="D252" s="21" t="n">
        <v>46237</v>
      </c>
      <c r="E252" s="20" t="inlineStr">
        <is>
          <t>IFC-ISSUED FOR CONSTRUCTION</t>
        </is>
      </c>
      <c r="F252" s="21" t="n">
        <v>8631</v>
      </c>
      <c r="G252" s="20" t="inlineStr">
        <is>
          <t>PIPE B36.10/36.19 A333 6-SMLS BE BE</t>
        </is>
      </c>
      <c r="H252" s="20" t="inlineStr">
        <is>
          <t>A333</t>
        </is>
      </c>
      <c r="I252" s="22" t="n">
        <v>10</v>
      </c>
      <c r="J252" s="21" t="inlineStr">
        <is>
          <t>STD</t>
        </is>
      </c>
      <c r="K252" s="20" t="inlineStr">
        <is>
          <t>I64108754</t>
        </is>
      </c>
      <c r="L252" s="22" t="n">
        <v>0.2</v>
      </c>
      <c r="M252" s="20">
        <f>IFERROR(LEFT(B252,SEARCH("_Rev",B252)-1),B252)</f>
        <v/>
      </c>
      <c r="N252" s="20">
        <f>IF(B252="","",IF(ISNUMBER(C252),IF(COUNTIFS($M$3:$M$1026,M252,$C$3:$C$1026,"&gt;"&amp;C252)=0,"CURRENT","SUPERSEDED"),"CURRENT"))</f>
        <v/>
      </c>
      <c r="O252" s="19" t="n"/>
    </row>
    <row r="253">
      <c r="A253" s="19" t="n"/>
      <c r="B253" s="20" t="inlineStr">
        <is>
          <t>4503-XH-DL-8631-8631-5055-CWR-01_Rev0</t>
        </is>
      </c>
      <c r="C253" s="21" t="n">
        <v>0</v>
      </c>
      <c r="D253" s="21" t="n">
        <v>46237</v>
      </c>
      <c r="E253" s="20" t="inlineStr">
        <is>
          <t>IFC-ISSUED FOR CONSTRUCTION</t>
        </is>
      </c>
      <c r="F253" s="21" t="n">
        <v>8631</v>
      </c>
      <c r="G253" s="20" t="inlineStr">
        <is>
          <t>PIPE B36.10/36.19 A671 CC60 CL.22 S2 BE BE</t>
        </is>
      </c>
      <c r="H253" s="20" t="inlineStr">
        <is>
          <t>A671</t>
        </is>
      </c>
      <c r="I253" s="22" t="n">
        <v>28</v>
      </c>
      <c r="J253" s="21" t="inlineStr">
        <is>
          <t>XS</t>
        </is>
      </c>
      <c r="K253" s="20" t="inlineStr">
        <is>
          <t>I65622127</t>
        </is>
      </c>
      <c r="L253" s="22" t="n">
        <v>3.6</v>
      </c>
      <c r="M253" s="20">
        <f>IFERROR(LEFT(B253,SEARCH("_Rev",B253)-1),B253)</f>
        <v/>
      </c>
      <c r="N253" s="20">
        <f>IF(B253="","",IF(ISNUMBER(C253),IF(COUNTIFS($M$3:$M$1026,M253,$C$3:$C$1026,"&gt;"&amp;C253)=0,"CURRENT","SUPERSEDED"),"CURRENT"))</f>
        <v/>
      </c>
      <c r="O253" s="19" t="n"/>
    </row>
    <row r="254">
      <c r="A254" s="19" t="n"/>
      <c r="B254" s="20" t="inlineStr">
        <is>
          <t>4503-XH-DL-8631-8631-5056-CWR-01_Rev0</t>
        </is>
      </c>
      <c r="C254" s="21" t="n">
        <v>0</v>
      </c>
      <c r="D254" s="21" t="n">
        <v>46237</v>
      </c>
      <c r="E254" s="20" t="inlineStr">
        <is>
          <t>IFC-ISSUED FOR CONSTRUCTION</t>
        </is>
      </c>
      <c r="F254" s="21" t="n">
        <v>8631</v>
      </c>
      <c r="G254" s="20" t="inlineStr">
        <is>
          <t>PIPE B36.10/36.19 A671 CC60 CL.22 S2 BE BE</t>
        </is>
      </c>
      <c r="H254" s="20" t="inlineStr">
        <is>
          <t>A671</t>
        </is>
      </c>
      <c r="I254" s="22" t="n">
        <v>32</v>
      </c>
      <c r="J254" s="21" t="inlineStr">
        <is>
          <t>XS</t>
        </is>
      </c>
      <c r="K254" s="20" t="inlineStr">
        <is>
          <t>I65622125</t>
        </is>
      </c>
      <c r="L254" s="22" t="n">
        <v>17.9</v>
      </c>
      <c r="M254" s="20">
        <f>IFERROR(LEFT(B254,SEARCH("_Rev",B254)-1),B254)</f>
        <v/>
      </c>
      <c r="N254" s="20">
        <f>IF(B254="","",IF(ISNUMBER(C254),IF(COUNTIFS($M$3:$M$1026,M254,$C$3:$C$1026,"&gt;"&amp;C254)=0,"CURRENT","SUPERSEDED"),"CURRENT"))</f>
        <v/>
      </c>
      <c r="O254" s="19" t="n"/>
    </row>
    <row r="255">
      <c r="A255" s="19" t="n"/>
      <c r="B255" s="20" t="inlineStr">
        <is>
          <t>4503-XH-DL-8631-8631-5056-CWR-03_Rev0</t>
        </is>
      </c>
      <c r="C255" s="21" t="n">
        <v>0</v>
      </c>
      <c r="D255" s="21" t="n">
        <v>46237</v>
      </c>
      <c r="E255" s="20" t="inlineStr">
        <is>
          <t>IFC-ISSUED FOR CONSTRUCTION</t>
        </is>
      </c>
      <c r="F255" s="21" t="n">
        <v>8631</v>
      </c>
      <c r="G255" s="20" t="inlineStr">
        <is>
          <t>PIPE B36.10/36.19 A333 6-SMLS BE BE</t>
        </is>
      </c>
      <c r="H255" s="20" t="inlineStr">
        <is>
          <t>A333</t>
        </is>
      </c>
      <c r="I255" s="22" t="n">
        <v>2</v>
      </c>
      <c r="J255" s="21" t="inlineStr">
        <is>
          <t>XS</t>
        </is>
      </c>
      <c r="K255" s="20" t="inlineStr">
        <is>
          <t>I64108762</t>
        </is>
      </c>
      <c r="L255" s="22" t="n">
        <v>0.6</v>
      </c>
      <c r="M255" s="20">
        <f>IFERROR(LEFT(B255,SEARCH("_Rev",B255)-1),B255)</f>
        <v/>
      </c>
      <c r="N255" s="20">
        <f>IF(B255="","",IF(ISNUMBER(C255),IF(COUNTIFS($M$3:$M$1026,M255,$C$3:$C$1026,"&gt;"&amp;C255)=0,"CURRENT","SUPERSEDED"),"CURRENT"))</f>
        <v/>
      </c>
      <c r="O255" s="19" t="n"/>
    </row>
    <row r="256">
      <c r="A256" s="19" t="n"/>
      <c r="B256" s="20" t="inlineStr">
        <is>
          <t>4503-XH-DL-8631-8631-5056-CWR-04_Rev0</t>
        </is>
      </c>
      <c r="C256" s="21" t="n">
        <v>0</v>
      </c>
      <c r="D256" s="21" t="n">
        <v>46237</v>
      </c>
      <c r="E256" s="20" t="inlineStr">
        <is>
          <t>IFC-ISSUED FOR CONSTRUCTION</t>
        </is>
      </c>
      <c r="F256" s="21" t="n">
        <v>8631</v>
      </c>
      <c r="G256" s="20" t="inlineStr">
        <is>
          <t>PIPE B36.10/36.19 A333 6-SMLS BE BE</t>
        </is>
      </c>
      <c r="H256" s="20" t="inlineStr">
        <is>
          <t>A333</t>
        </is>
      </c>
      <c r="I256" s="22" t="n">
        <v>2</v>
      </c>
      <c r="J256" s="21" t="inlineStr">
        <is>
          <t>XS</t>
        </is>
      </c>
      <c r="K256" s="20" t="inlineStr">
        <is>
          <t>I64108762</t>
        </is>
      </c>
      <c r="L256" s="22" t="n">
        <v>0.1</v>
      </c>
      <c r="M256" s="20">
        <f>IFERROR(LEFT(B256,SEARCH("_Rev",B256)-1),B256)</f>
        <v/>
      </c>
      <c r="N256" s="20">
        <f>IF(B256="","",IF(ISNUMBER(C256),IF(COUNTIFS($M$3:$M$1026,M256,$C$3:$C$1026,"&gt;"&amp;C256)=0,"CURRENT","SUPERSEDED"),"CURRENT"))</f>
        <v/>
      </c>
      <c r="O256" s="19" t="n"/>
    </row>
    <row r="257">
      <c r="A257" s="19" t="n"/>
      <c r="B257" s="20" t="inlineStr">
        <is>
          <t>4503-XH-DL-8631-8631-5056-CWR-05_Rev0</t>
        </is>
      </c>
      <c r="C257" s="21" t="n">
        <v>0</v>
      </c>
      <c r="D257" s="21" t="n">
        <v>46237</v>
      </c>
      <c r="E257" s="20" t="inlineStr">
        <is>
          <t>IFC-ISSUED FOR CONSTRUCTION</t>
        </is>
      </c>
      <c r="F257" s="21" t="n">
        <v>8631</v>
      </c>
      <c r="G257" s="20" t="inlineStr">
        <is>
          <t>PIPE B36.10/36.19 A333 6-SMLS BE BE</t>
        </is>
      </c>
      <c r="H257" s="20" t="inlineStr">
        <is>
          <t>A333</t>
        </is>
      </c>
      <c r="I257" s="22" t="n">
        <v>10</v>
      </c>
      <c r="J257" s="21" t="inlineStr">
        <is>
          <t>STD</t>
        </is>
      </c>
      <c r="K257" s="20" t="inlineStr">
        <is>
          <t>I64108754</t>
        </is>
      </c>
      <c r="L257" s="22" t="n">
        <v>0.2</v>
      </c>
      <c r="M257" s="20">
        <f>IFERROR(LEFT(B257,SEARCH("_Rev",B257)-1),B257)</f>
        <v/>
      </c>
      <c r="N257" s="20">
        <f>IF(B257="","",IF(ISNUMBER(C257),IF(COUNTIFS($M$3:$M$1026,M257,$C$3:$C$1026,"&gt;"&amp;C257)=0,"CURRENT","SUPERSEDED"),"CURRENT"))</f>
        <v/>
      </c>
      <c r="O257" s="19" t="n"/>
    </row>
    <row r="258">
      <c r="A258" s="19" t="n"/>
      <c r="B258" s="20" t="inlineStr">
        <is>
          <t>4503-XH-DL-8631-8631-5057-CWR-01_Rev0</t>
        </is>
      </c>
      <c r="C258" s="21" t="n">
        <v>0</v>
      </c>
      <c r="D258" s="21" t="n">
        <v>46237</v>
      </c>
      <c r="E258" s="20" t="inlineStr">
        <is>
          <t>IFC-ISSUED FOR CONSTRUCTION</t>
        </is>
      </c>
      <c r="F258" s="21" t="n">
        <v>8631</v>
      </c>
      <c r="G258" s="20" t="inlineStr">
        <is>
          <t>PIPE B36.10/36.19 A671 CC60 CL.22 S2 BE BE</t>
        </is>
      </c>
      <c r="H258" s="20" t="inlineStr">
        <is>
          <t>A671</t>
        </is>
      </c>
      <c r="I258" s="22" t="n">
        <v>32</v>
      </c>
      <c r="J258" s="21" t="inlineStr">
        <is>
          <t>XS</t>
        </is>
      </c>
      <c r="K258" s="20" t="inlineStr">
        <is>
          <t>I65622125</t>
        </is>
      </c>
      <c r="L258" s="22" t="n">
        <v>17.9</v>
      </c>
      <c r="M258" s="20">
        <f>IFERROR(LEFT(B258,SEARCH("_Rev",B258)-1),B258)</f>
        <v/>
      </c>
      <c r="N258" s="20">
        <f>IF(B258="","",IF(ISNUMBER(C258),IF(COUNTIFS($M$3:$M$1026,M258,$C$3:$C$1026,"&gt;"&amp;C258)=0,"CURRENT","SUPERSEDED"),"CURRENT"))</f>
        <v/>
      </c>
      <c r="O258" s="19" t="n"/>
    </row>
    <row r="259">
      <c r="A259" s="19" t="n"/>
      <c r="B259" s="20" t="inlineStr">
        <is>
          <t>4503-XH-DL-8631-8631-5057-CWR-03_Rev0</t>
        </is>
      </c>
      <c r="C259" s="21" t="n">
        <v>0</v>
      </c>
      <c r="D259" s="21" t="n">
        <v>46237</v>
      </c>
      <c r="E259" s="20" t="inlineStr">
        <is>
          <t>IFC-ISSUED FOR CONSTRUCTION</t>
        </is>
      </c>
      <c r="F259" s="21" t="n">
        <v>8631</v>
      </c>
      <c r="G259" s="20" t="inlineStr">
        <is>
          <t>PIPE B36.10/36.19 A333 6-SMLS BE BE</t>
        </is>
      </c>
      <c r="H259" s="20" t="inlineStr">
        <is>
          <t>A333</t>
        </is>
      </c>
      <c r="I259" s="22" t="n">
        <v>2</v>
      </c>
      <c r="J259" s="21" t="inlineStr">
        <is>
          <t>XS</t>
        </is>
      </c>
      <c r="K259" s="20" t="inlineStr">
        <is>
          <t>I64108762</t>
        </is>
      </c>
      <c r="L259" s="22" t="n">
        <v>0.6</v>
      </c>
      <c r="M259" s="20">
        <f>IFERROR(LEFT(B259,SEARCH("_Rev",B259)-1),B259)</f>
        <v/>
      </c>
      <c r="N259" s="20">
        <f>IF(B259="","",IF(ISNUMBER(C259),IF(COUNTIFS($M$3:$M$1026,M259,$C$3:$C$1026,"&gt;"&amp;C259)=0,"CURRENT","SUPERSEDED"),"CURRENT"))</f>
        <v/>
      </c>
      <c r="O259" s="19" t="n"/>
    </row>
    <row r="260">
      <c r="A260" s="19" t="n"/>
      <c r="B260" s="20" t="inlineStr">
        <is>
          <t>4503-XH-DL-8631-8631-5057-CWR-04_Rev0</t>
        </is>
      </c>
      <c r="C260" s="21" t="n">
        <v>0</v>
      </c>
      <c r="D260" s="21" t="n">
        <v>46237</v>
      </c>
      <c r="E260" s="20" t="inlineStr">
        <is>
          <t>IFC-ISSUED FOR CONSTRUCTION</t>
        </is>
      </c>
      <c r="F260" s="21" t="n">
        <v>8631</v>
      </c>
      <c r="G260" s="20" t="inlineStr">
        <is>
          <t>PIPE B36.10/36.19 A333 6-SMLS BE BE</t>
        </is>
      </c>
      <c r="H260" s="20" t="inlineStr">
        <is>
          <t>A333</t>
        </is>
      </c>
      <c r="I260" s="22" t="n">
        <v>2</v>
      </c>
      <c r="J260" s="21" t="inlineStr">
        <is>
          <t>XS</t>
        </is>
      </c>
      <c r="K260" s="20" t="inlineStr">
        <is>
          <t>I64108762</t>
        </is>
      </c>
      <c r="L260" s="22" t="n">
        <v>0.1</v>
      </c>
      <c r="M260" s="20">
        <f>IFERROR(LEFT(B260,SEARCH("_Rev",B260)-1),B260)</f>
        <v/>
      </c>
      <c r="N260" s="20">
        <f>IF(B260="","",IF(ISNUMBER(C260),IF(COUNTIFS($M$3:$M$1026,M260,$C$3:$C$1026,"&gt;"&amp;C260)=0,"CURRENT","SUPERSEDED"),"CURRENT"))</f>
        <v/>
      </c>
      <c r="O260" s="19" t="n"/>
    </row>
    <row r="261">
      <c r="A261" s="19" t="n"/>
      <c r="B261" s="20" t="inlineStr">
        <is>
          <t>4503-XH-DL-8631-8631-5057-CWR-05_Rev0</t>
        </is>
      </c>
      <c r="C261" s="21" t="n">
        <v>0</v>
      </c>
      <c r="D261" s="21" t="n">
        <v>46237</v>
      </c>
      <c r="E261" s="20" t="inlineStr">
        <is>
          <t>IFC-ISSUED FOR CONSTRUCTION</t>
        </is>
      </c>
      <c r="F261" s="21" t="n">
        <v>8631</v>
      </c>
      <c r="G261" s="20" t="inlineStr">
        <is>
          <t>PIPE B36.10/36.19 A333 6-SMLS BE BE</t>
        </is>
      </c>
      <c r="H261" s="20" t="inlineStr">
        <is>
          <t>A333</t>
        </is>
      </c>
      <c r="I261" s="22" t="n">
        <v>10</v>
      </c>
      <c r="J261" s="21" t="inlineStr">
        <is>
          <t>STD</t>
        </is>
      </c>
      <c r="K261" s="20" t="inlineStr">
        <is>
          <t>I64108754</t>
        </is>
      </c>
      <c r="L261" s="22" t="n">
        <v>0.2</v>
      </c>
      <c r="M261" s="20">
        <f>IFERROR(LEFT(B261,SEARCH("_Rev",B261)-1),B261)</f>
        <v/>
      </c>
      <c r="N261" s="20">
        <f>IF(B261="","",IF(ISNUMBER(C261),IF(COUNTIFS($M$3:$M$1026,M261,$C$3:$C$1026,"&gt;"&amp;C261)=0,"CURRENT","SUPERSEDED"),"CURRENT"))</f>
        <v/>
      </c>
      <c r="O261" s="19" t="n"/>
    </row>
    <row r="262">
      <c r="A262" s="19" t="n"/>
      <c r="B262" s="20" t="inlineStr">
        <is>
          <t>4503-XH-DL-8631-8631-5058-CWR-01_Rev0</t>
        </is>
      </c>
      <c r="C262" s="21" t="n">
        <v>0</v>
      </c>
      <c r="D262" s="21" t="n">
        <v>46237</v>
      </c>
      <c r="E262" s="20" t="inlineStr">
        <is>
          <t>IFC-ISSUED FOR CONSTRUCTION</t>
        </is>
      </c>
      <c r="F262" s="21" t="n">
        <v>8631</v>
      </c>
      <c r="G262" s="20" t="inlineStr">
        <is>
          <t>PIPE B36.10/36.19 A333 6-SMLS BE BE</t>
        </is>
      </c>
      <c r="H262" s="20" t="inlineStr">
        <is>
          <t>A333</t>
        </is>
      </c>
      <c r="I262" s="22" t="n">
        <v>6</v>
      </c>
      <c r="J262" s="21" t="inlineStr">
        <is>
          <t>STD</t>
        </is>
      </c>
      <c r="K262" s="20" t="inlineStr">
        <is>
          <t>I63649156</t>
        </is>
      </c>
      <c r="L262" s="22" t="n">
        <v>9.800000000000001</v>
      </c>
      <c r="M262" s="20">
        <f>IFERROR(LEFT(B262,SEARCH("_Rev",B262)-1),B262)</f>
        <v/>
      </c>
      <c r="N262" s="20">
        <f>IF(B262="","",IF(ISNUMBER(C262),IF(COUNTIFS($M$3:$M$1026,M262,$C$3:$C$1026,"&gt;"&amp;C262)=0,"CURRENT","SUPERSEDED"),"CURRENT"))</f>
        <v/>
      </c>
      <c r="O262" s="19" t="n"/>
    </row>
    <row r="263">
      <c r="A263" s="19" t="n"/>
      <c r="B263" s="20" t="inlineStr">
        <is>
          <t>4503-XH-DL-8631-8631-5058-CWR-01_Rev0</t>
        </is>
      </c>
      <c r="C263" s="21" t="n">
        <v>0</v>
      </c>
      <c r="D263" s="21" t="n">
        <v>46237</v>
      </c>
      <c r="E263" s="20" t="inlineStr">
        <is>
          <t>IFC-ISSUED FOR CONSTRUCTION</t>
        </is>
      </c>
      <c r="F263" s="21" t="n">
        <v>8631</v>
      </c>
      <c r="G263" s="20" t="inlineStr">
        <is>
          <t>PIPE B36.10/36.19 A333 6-SMLS BE BE</t>
        </is>
      </c>
      <c r="H263" s="20" t="inlineStr">
        <is>
          <t>A333</t>
        </is>
      </c>
      <c r="I263" s="22" t="n">
        <v>2</v>
      </c>
      <c r="J263" s="21" t="inlineStr">
        <is>
          <t>XS</t>
        </is>
      </c>
      <c r="K263" s="20" t="inlineStr">
        <is>
          <t>I64108762</t>
        </is>
      </c>
      <c r="L263" s="22" t="n">
        <v>1.1</v>
      </c>
      <c r="M263" s="20">
        <f>IFERROR(LEFT(B263,SEARCH("_Rev",B263)-1),B263)</f>
        <v/>
      </c>
      <c r="N263" s="20">
        <f>IF(B263="","",IF(ISNUMBER(C263),IF(COUNTIFS($M$3:$M$1026,M263,$C$3:$C$1026,"&gt;"&amp;C263)=0,"CURRENT","SUPERSEDED"),"CURRENT"))</f>
        <v/>
      </c>
      <c r="O263" s="19" t="n"/>
    </row>
    <row r="264">
      <c r="A264" s="19" t="n"/>
      <c r="B264" s="20" t="inlineStr">
        <is>
          <t>4503-XH-DL-8631-8631-5058-CWR-02_Rev0</t>
        </is>
      </c>
      <c r="C264" s="21" t="n">
        <v>0</v>
      </c>
      <c r="D264" s="21" t="n">
        <v>46237</v>
      </c>
      <c r="E264" s="20" t="inlineStr">
        <is>
          <t>IFC-ISSUED FOR CONSTRUCTION</t>
        </is>
      </c>
      <c r="F264" s="21" t="n">
        <v>8631</v>
      </c>
      <c r="G264" s="20" t="inlineStr">
        <is>
          <t>PIPE B36.10/36.19 A333 6-SMLS BE BE</t>
        </is>
      </c>
      <c r="H264" s="20" t="inlineStr">
        <is>
          <t>A333</t>
        </is>
      </c>
      <c r="I264" s="22" t="n">
        <v>2</v>
      </c>
      <c r="J264" s="21" t="inlineStr">
        <is>
          <t>XS</t>
        </is>
      </c>
      <c r="K264" s="20" t="inlineStr">
        <is>
          <t>I64108762</t>
        </is>
      </c>
      <c r="L264" s="22" t="n">
        <v>2.5</v>
      </c>
      <c r="M264" s="20">
        <f>IFERROR(LEFT(B264,SEARCH("_Rev",B264)-1),B264)</f>
        <v/>
      </c>
      <c r="N264" s="20">
        <f>IF(B264="","",IF(ISNUMBER(C264),IF(COUNTIFS($M$3:$M$1026,M264,$C$3:$C$1026,"&gt;"&amp;C264)=0,"CURRENT","SUPERSEDED"),"CURRENT"))</f>
        <v/>
      </c>
      <c r="O264" s="19" t="n"/>
    </row>
    <row r="265">
      <c r="A265" s="19" t="n"/>
      <c r="B265" s="20" t="inlineStr">
        <is>
          <t>4503-XH-DL-8631-8631-5059-CWR-01_Rev0</t>
        </is>
      </c>
      <c r="C265" s="21" t="n">
        <v>0</v>
      </c>
      <c r="D265" s="21" t="n">
        <v>46237</v>
      </c>
      <c r="E265" s="20" t="inlineStr">
        <is>
          <t>IFC-ISSUED FOR CONSTRUCTION</t>
        </is>
      </c>
      <c r="F265" s="21" t="n">
        <v>8631</v>
      </c>
      <c r="G265" s="20" t="inlineStr">
        <is>
          <t>PIPE B36.10/36.19 A333 6-SMLS BE BE</t>
        </is>
      </c>
      <c r="H265" s="20" t="inlineStr">
        <is>
          <t>A333</t>
        </is>
      </c>
      <c r="I265" s="22" t="n">
        <v>6</v>
      </c>
      <c r="J265" s="21" t="inlineStr">
        <is>
          <t>STD</t>
        </is>
      </c>
      <c r="K265" s="20" t="inlineStr">
        <is>
          <t>I63649156</t>
        </is>
      </c>
      <c r="L265" s="22" t="n">
        <v>9.800000000000001</v>
      </c>
      <c r="M265" s="20">
        <f>IFERROR(LEFT(B265,SEARCH("_Rev",B265)-1),B265)</f>
        <v/>
      </c>
      <c r="N265" s="20">
        <f>IF(B265="","",IF(ISNUMBER(C265),IF(COUNTIFS($M$3:$M$1026,M265,$C$3:$C$1026,"&gt;"&amp;C265)=0,"CURRENT","SUPERSEDED"),"CURRENT"))</f>
        <v/>
      </c>
      <c r="O265" s="19" t="n"/>
    </row>
    <row r="266">
      <c r="A266" s="19" t="n"/>
      <c r="B266" s="20" t="inlineStr">
        <is>
          <t>4503-XH-DL-8631-8631-5059-CWR-01_Rev0</t>
        </is>
      </c>
      <c r="C266" s="21" t="n">
        <v>0</v>
      </c>
      <c r="D266" s="21" t="n">
        <v>46237</v>
      </c>
      <c r="E266" s="20" t="inlineStr">
        <is>
          <t>IFC-ISSUED FOR CONSTRUCTION</t>
        </is>
      </c>
      <c r="F266" s="21" t="n">
        <v>8631</v>
      </c>
      <c r="G266" s="20" t="inlineStr">
        <is>
          <t>PIPE B36.10/36.19 A333 6-SMLS BE BE</t>
        </is>
      </c>
      <c r="H266" s="20" t="inlineStr">
        <is>
          <t>A333</t>
        </is>
      </c>
      <c r="I266" s="22" t="n">
        <v>2</v>
      </c>
      <c r="J266" s="21" t="inlineStr">
        <is>
          <t>XS</t>
        </is>
      </c>
      <c r="K266" s="20" t="inlineStr">
        <is>
          <t>I64108762</t>
        </is>
      </c>
      <c r="L266" s="22" t="n">
        <v>1.1</v>
      </c>
      <c r="M266" s="20">
        <f>IFERROR(LEFT(B266,SEARCH("_Rev",B266)-1),B266)</f>
        <v/>
      </c>
      <c r="N266" s="20">
        <f>IF(B266="","",IF(ISNUMBER(C266),IF(COUNTIFS($M$3:$M$1026,M266,$C$3:$C$1026,"&gt;"&amp;C266)=0,"CURRENT","SUPERSEDED"),"CURRENT"))</f>
        <v/>
      </c>
      <c r="O266" s="19" t="n"/>
    </row>
    <row r="267">
      <c r="A267" s="19" t="n"/>
      <c r="B267" s="20" t="inlineStr">
        <is>
          <t>4503-XH-DL-8631-8631-5059-CWR-02_Rev0</t>
        </is>
      </c>
      <c r="C267" s="21" t="n">
        <v>0</v>
      </c>
      <c r="D267" s="21" t="n">
        <v>46237</v>
      </c>
      <c r="E267" s="20" t="inlineStr">
        <is>
          <t>IFC-ISSUED FOR CONSTRUCTION</t>
        </is>
      </c>
      <c r="F267" s="21" t="n">
        <v>8631</v>
      </c>
      <c r="G267" s="20" t="inlineStr">
        <is>
          <t>PIPE B36.10/36.19 A333 6-SMLS BE BE</t>
        </is>
      </c>
      <c r="H267" s="20" t="inlineStr">
        <is>
          <t>A333</t>
        </is>
      </c>
      <c r="I267" s="22" t="n">
        <v>2</v>
      </c>
      <c r="J267" s="21" t="inlineStr">
        <is>
          <t>XS</t>
        </is>
      </c>
      <c r="K267" s="20" t="inlineStr">
        <is>
          <t>I64108762</t>
        </is>
      </c>
      <c r="L267" s="22" t="n">
        <v>2.5</v>
      </c>
      <c r="M267" s="20">
        <f>IFERROR(LEFT(B267,SEARCH("_Rev",B267)-1),B267)</f>
        <v/>
      </c>
      <c r="N267" s="20">
        <f>IF(B267="","",IF(ISNUMBER(C267),IF(COUNTIFS($M$3:$M$1026,M267,$C$3:$C$1026,"&gt;"&amp;C267)=0,"CURRENT","SUPERSEDED"),"CURRENT"))</f>
        <v/>
      </c>
      <c r="O267" s="19" t="n"/>
    </row>
    <row r="268">
      <c r="A268" s="19" t="n"/>
      <c r="B268" s="20" t="inlineStr">
        <is>
          <t>4503-XH-DL-8631-8631-5060-CWR-01_Rev0</t>
        </is>
      </c>
      <c r="C268" s="21" t="n">
        <v>0</v>
      </c>
      <c r="D268" s="21" t="n">
        <v>46237</v>
      </c>
      <c r="E268" s="20" t="inlineStr">
        <is>
          <t>IFC-ISSUED FOR CONSTRUCTION</t>
        </is>
      </c>
      <c r="F268" s="21" t="n">
        <v>8631</v>
      </c>
      <c r="G268" s="20" t="inlineStr">
        <is>
          <t>PIPE B36.10/36.19 A671 CC60 CL.22 S2 BE BE</t>
        </is>
      </c>
      <c r="H268" s="20" t="inlineStr">
        <is>
          <t>A671</t>
        </is>
      </c>
      <c r="I268" s="22" t="n">
        <v>28</v>
      </c>
      <c r="J268" s="21" t="inlineStr">
        <is>
          <t>XS</t>
        </is>
      </c>
      <c r="K268" s="20" t="inlineStr">
        <is>
          <t>I65622127</t>
        </is>
      </c>
      <c r="L268" s="22" t="n">
        <v>3.6</v>
      </c>
      <c r="M268" s="20">
        <f>IFERROR(LEFT(B268,SEARCH("_Rev",B268)-1),B268)</f>
        <v/>
      </c>
      <c r="N268" s="20">
        <f>IF(B268="","",IF(ISNUMBER(C268),IF(COUNTIFS($M$3:$M$1026,M268,$C$3:$C$1026,"&gt;"&amp;C268)=0,"CURRENT","SUPERSEDED"),"CURRENT"))</f>
        <v/>
      </c>
      <c r="O268" s="19" t="n"/>
    </row>
    <row r="269">
      <c r="A269" s="19" t="n"/>
      <c r="B269" s="20" t="inlineStr">
        <is>
          <t>4503-XH-DL-8631-8631-5061-CWR-01_Rev0</t>
        </is>
      </c>
      <c r="C269" s="21" t="n">
        <v>0</v>
      </c>
      <c r="D269" s="21" t="n">
        <v>46237</v>
      </c>
      <c r="E269" s="20" t="inlineStr">
        <is>
          <t>IFC-ISSUED FOR CONSTRUCTION</t>
        </is>
      </c>
      <c r="F269" s="21" t="n">
        <v>8631</v>
      </c>
      <c r="G269" s="20" t="inlineStr">
        <is>
          <t>PIPE B36.10/36.19 A671 CC60 CL.22 S2 BE BE</t>
        </is>
      </c>
      <c r="H269" s="20" t="inlineStr">
        <is>
          <t>A671</t>
        </is>
      </c>
      <c r="I269" s="22" t="n">
        <v>28</v>
      </c>
      <c r="J269" s="21" t="inlineStr">
        <is>
          <t>XS</t>
        </is>
      </c>
      <c r="K269" s="20" t="inlineStr">
        <is>
          <t>I65622127</t>
        </is>
      </c>
      <c r="L269" s="22" t="n">
        <v>3.6</v>
      </c>
      <c r="M269" s="20">
        <f>IFERROR(LEFT(B269,SEARCH("_Rev",B269)-1),B269)</f>
        <v/>
      </c>
      <c r="N269" s="20">
        <f>IF(B269="","",IF(ISNUMBER(C269),IF(COUNTIFS($M$3:$M$1026,M269,$C$3:$C$1026,"&gt;"&amp;C269)=0,"CURRENT","SUPERSEDED"),"CURRENT"))</f>
        <v/>
      </c>
      <c r="O269" s="19" t="n"/>
    </row>
    <row r="270">
      <c r="A270" s="19" t="n"/>
      <c r="B270" s="20" t="inlineStr">
        <is>
          <t>4503-XH-DL-8631-8631-5062-CWR-01_Rev0</t>
        </is>
      </c>
      <c r="C270" s="21" t="n">
        <v>0</v>
      </c>
      <c r="D270" s="21" t="n">
        <v>46237</v>
      </c>
      <c r="E270" s="20" t="inlineStr">
        <is>
          <t>IFC-ISSUED FOR CONSTRUCTION</t>
        </is>
      </c>
      <c r="F270" s="21" t="n">
        <v>8631</v>
      </c>
      <c r="G270" s="20" t="inlineStr">
        <is>
          <t>PIPE B36.10/36.19 A671 CC60 CL.22 S2 BE BE</t>
        </is>
      </c>
      <c r="H270" s="20" t="inlineStr">
        <is>
          <t>A671</t>
        </is>
      </c>
      <c r="I270" s="22" t="n">
        <v>28</v>
      </c>
      <c r="J270" s="21" t="inlineStr">
        <is>
          <t>XS</t>
        </is>
      </c>
      <c r="K270" s="20" t="inlineStr">
        <is>
          <t>I65622127</t>
        </is>
      </c>
      <c r="L270" s="22" t="n">
        <v>3.6</v>
      </c>
      <c r="M270" s="20">
        <f>IFERROR(LEFT(B270,SEARCH("_Rev",B270)-1),B270)</f>
        <v/>
      </c>
      <c r="N270" s="20">
        <f>IF(B270="","",IF(ISNUMBER(C270),IF(COUNTIFS($M$3:$M$1026,M270,$C$3:$C$1026,"&gt;"&amp;C270)=0,"CURRENT","SUPERSEDED"),"CURRENT"))</f>
        <v/>
      </c>
      <c r="O270" s="19" t="n"/>
    </row>
    <row r="271">
      <c r="A271" s="19" t="n"/>
      <c r="B271" s="20" t="inlineStr">
        <is>
          <t>4503-XH-DL-8631-8631-5063-CWR-01_Rev0</t>
        </is>
      </c>
      <c r="C271" s="21" t="n">
        <v>0</v>
      </c>
      <c r="D271" s="21" t="n">
        <v>46237</v>
      </c>
      <c r="E271" s="20" t="inlineStr">
        <is>
          <t>IFC-ISSUED FOR CONSTRUCTION</t>
        </is>
      </c>
      <c r="F271" s="21" t="n">
        <v>8631</v>
      </c>
      <c r="G271" s="20" t="inlineStr">
        <is>
          <t>PIPE B36.10/36.19 A333 6-SMLS BE BE</t>
        </is>
      </c>
      <c r="H271" s="20" t="inlineStr">
        <is>
          <t>A333</t>
        </is>
      </c>
      <c r="I271" s="22" t="n">
        <v>6</v>
      </c>
      <c r="J271" s="21" t="inlineStr">
        <is>
          <t>STD</t>
        </is>
      </c>
      <c r="K271" s="20" t="inlineStr">
        <is>
          <t>I63649156</t>
        </is>
      </c>
      <c r="L271" s="22" t="n">
        <v>9.800000000000001</v>
      </c>
      <c r="M271" s="20">
        <f>IFERROR(LEFT(B271,SEARCH("_Rev",B271)-1),B271)</f>
        <v/>
      </c>
      <c r="N271" s="20">
        <f>IF(B271="","",IF(ISNUMBER(C271),IF(COUNTIFS($M$3:$M$1026,M271,$C$3:$C$1026,"&gt;"&amp;C271)=0,"CURRENT","SUPERSEDED"),"CURRENT"))</f>
        <v/>
      </c>
      <c r="O271" s="19" t="n"/>
    </row>
    <row r="272">
      <c r="A272" s="19" t="n"/>
      <c r="B272" s="20" t="inlineStr">
        <is>
          <t>4503-XH-DL-8631-8631-5063-CWR-01_Rev0</t>
        </is>
      </c>
      <c r="C272" s="21" t="n">
        <v>0</v>
      </c>
      <c r="D272" s="21" t="n">
        <v>46237</v>
      </c>
      <c r="E272" s="20" t="inlineStr">
        <is>
          <t>IFC-ISSUED FOR CONSTRUCTION</t>
        </is>
      </c>
      <c r="F272" s="21" t="n">
        <v>8631</v>
      </c>
      <c r="G272" s="20" t="inlineStr">
        <is>
          <t>PIPE B36.10/36.19 A333 6-SMLS BE BE</t>
        </is>
      </c>
      <c r="H272" s="20" t="inlineStr">
        <is>
          <t>A333</t>
        </is>
      </c>
      <c r="I272" s="22" t="n">
        <v>2</v>
      </c>
      <c r="J272" s="21" t="inlineStr">
        <is>
          <t>XS</t>
        </is>
      </c>
      <c r="K272" s="20" t="inlineStr">
        <is>
          <t>I64108762</t>
        </is>
      </c>
      <c r="L272" s="22" t="n">
        <v>1.1</v>
      </c>
      <c r="M272" s="20">
        <f>IFERROR(LEFT(B272,SEARCH("_Rev",B272)-1),B272)</f>
        <v/>
      </c>
      <c r="N272" s="20">
        <f>IF(B272="","",IF(ISNUMBER(C272),IF(COUNTIFS($M$3:$M$1026,M272,$C$3:$C$1026,"&gt;"&amp;C272)=0,"CURRENT","SUPERSEDED"),"CURRENT"))</f>
        <v/>
      </c>
      <c r="O272" s="19" t="n"/>
    </row>
    <row r="273">
      <c r="A273" s="19" t="n"/>
      <c r="B273" s="20" t="inlineStr">
        <is>
          <t>4503-XH-DL-8631-8631-5063-CWR-02_Rev0</t>
        </is>
      </c>
      <c r="C273" s="21" t="n">
        <v>0</v>
      </c>
      <c r="D273" s="21" t="n">
        <v>46237</v>
      </c>
      <c r="E273" s="20" t="inlineStr">
        <is>
          <t>IFC-ISSUED FOR CONSTRUCTION</t>
        </is>
      </c>
      <c r="F273" s="21" t="n">
        <v>8631</v>
      </c>
      <c r="G273" s="20" t="inlineStr">
        <is>
          <t>PIPE B36.10/36.19 A333 6-SMLS BE BE</t>
        </is>
      </c>
      <c r="H273" s="20" t="inlineStr">
        <is>
          <t>A333</t>
        </is>
      </c>
      <c r="I273" s="22" t="n">
        <v>2</v>
      </c>
      <c r="J273" s="21" t="inlineStr">
        <is>
          <t>XS</t>
        </is>
      </c>
      <c r="K273" s="20" t="inlineStr">
        <is>
          <t>I64108762</t>
        </is>
      </c>
      <c r="L273" s="22" t="n">
        <v>2.5</v>
      </c>
      <c r="M273" s="20">
        <f>IFERROR(LEFT(B273,SEARCH("_Rev",B273)-1),B273)</f>
        <v/>
      </c>
      <c r="N273" s="20">
        <f>IF(B273="","",IF(ISNUMBER(C273),IF(COUNTIFS($M$3:$M$1026,M273,$C$3:$C$1026,"&gt;"&amp;C273)=0,"CURRENT","SUPERSEDED"),"CURRENT"))</f>
        <v/>
      </c>
      <c r="O273" s="19" t="n"/>
    </row>
    <row r="274">
      <c r="A274" s="19" t="n"/>
      <c r="B274" s="20" t="inlineStr">
        <is>
          <t>4503-XH-DL-8631-8631-5064-CWR-01_Rev0</t>
        </is>
      </c>
      <c r="C274" s="21" t="n">
        <v>0</v>
      </c>
      <c r="D274" s="21" t="n">
        <v>46237</v>
      </c>
      <c r="E274" s="20" t="inlineStr">
        <is>
          <t>IFC-ISSUED FOR CONSTRUCTION</t>
        </is>
      </c>
      <c r="F274" s="21" t="n">
        <v>8631</v>
      </c>
      <c r="G274" s="20" t="inlineStr">
        <is>
          <t>PIPE B36.10/36.19 A671 CC60 CL.22 S2 BE BE</t>
        </is>
      </c>
      <c r="H274" s="20" t="inlineStr">
        <is>
          <t>A671</t>
        </is>
      </c>
      <c r="I274" s="22" t="n">
        <v>32</v>
      </c>
      <c r="J274" s="21" t="inlineStr">
        <is>
          <t>XS</t>
        </is>
      </c>
      <c r="K274" s="20" t="inlineStr">
        <is>
          <t>I65622125</t>
        </is>
      </c>
      <c r="L274" s="22" t="n">
        <v>2.2</v>
      </c>
      <c r="M274" s="20">
        <f>IFERROR(LEFT(B274,SEARCH("_Rev",B274)-1),B274)</f>
        <v/>
      </c>
      <c r="N274" s="20">
        <f>IF(B274="","",IF(ISNUMBER(C274),IF(COUNTIFS($M$3:$M$1026,M274,$C$3:$C$1026,"&gt;"&amp;C274)=0,"CURRENT","SUPERSEDED"),"CURRENT"))</f>
        <v/>
      </c>
      <c r="O274" s="19" t="n"/>
    </row>
    <row r="275">
      <c r="A275" s="19" t="n"/>
      <c r="B275" s="20" t="inlineStr">
        <is>
          <t>4503-XH-DL-8631-8631-5065-CWR-01_Rev0</t>
        </is>
      </c>
      <c r="C275" s="21" t="n">
        <v>0</v>
      </c>
      <c r="D275" s="21" t="n">
        <v>46237</v>
      </c>
      <c r="E275" s="20" t="inlineStr">
        <is>
          <t>IFC-ISSUED FOR CONSTRUCTION</t>
        </is>
      </c>
      <c r="F275" s="21" t="n">
        <v>8631</v>
      </c>
      <c r="G275" s="20" t="inlineStr">
        <is>
          <t>PIPE B36.10/36.19 A671 CC60 CL.22 S2 BE BE</t>
        </is>
      </c>
      <c r="H275" s="20" t="inlineStr">
        <is>
          <t>A671</t>
        </is>
      </c>
      <c r="I275" s="22" t="n">
        <v>32</v>
      </c>
      <c r="J275" s="21" t="inlineStr">
        <is>
          <t>XS</t>
        </is>
      </c>
      <c r="K275" s="20" t="inlineStr">
        <is>
          <t>I65622125</t>
        </is>
      </c>
      <c r="L275" s="22" t="n">
        <v>17.9</v>
      </c>
      <c r="M275" s="20">
        <f>IFERROR(LEFT(B275,SEARCH("_Rev",B275)-1),B275)</f>
        <v/>
      </c>
      <c r="N275" s="20">
        <f>IF(B275="","",IF(ISNUMBER(C275),IF(COUNTIFS($M$3:$M$1026,M275,$C$3:$C$1026,"&gt;"&amp;C275)=0,"CURRENT","SUPERSEDED"),"CURRENT"))</f>
        <v/>
      </c>
      <c r="O275" s="19" t="n"/>
    </row>
    <row r="276">
      <c r="A276" s="19" t="n"/>
      <c r="B276" s="20" t="inlineStr">
        <is>
          <t>4503-XH-DL-8631-8631-5065-CWR-03_Rev0</t>
        </is>
      </c>
      <c r="C276" s="21" t="n">
        <v>0</v>
      </c>
      <c r="D276" s="21" t="n">
        <v>46237</v>
      </c>
      <c r="E276" s="20" t="inlineStr">
        <is>
          <t>IFC-ISSUED FOR CONSTRUCTION</t>
        </is>
      </c>
      <c r="F276" s="21" t="n">
        <v>8631</v>
      </c>
      <c r="G276" s="20" t="inlineStr">
        <is>
          <t>PIPE B36.10/36.19 A333 6-SMLS BE BE</t>
        </is>
      </c>
      <c r="H276" s="20" t="inlineStr">
        <is>
          <t>A333</t>
        </is>
      </c>
      <c r="I276" s="22" t="n">
        <v>2</v>
      </c>
      <c r="J276" s="21" t="inlineStr">
        <is>
          <t>XS</t>
        </is>
      </c>
      <c r="K276" s="20" t="inlineStr">
        <is>
          <t>I64108762</t>
        </is>
      </c>
      <c r="L276" s="22" t="n">
        <v>0.6</v>
      </c>
      <c r="M276" s="20">
        <f>IFERROR(LEFT(B276,SEARCH("_Rev",B276)-1),B276)</f>
        <v/>
      </c>
      <c r="N276" s="20">
        <f>IF(B276="","",IF(ISNUMBER(C276),IF(COUNTIFS($M$3:$M$1026,M276,$C$3:$C$1026,"&gt;"&amp;C276)=0,"CURRENT","SUPERSEDED"),"CURRENT"))</f>
        <v/>
      </c>
      <c r="O276" s="19" t="n"/>
    </row>
    <row r="277">
      <c r="A277" s="19" t="n"/>
      <c r="B277" s="20" t="inlineStr">
        <is>
          <t>4503-XH-DL-8631-8631-5065-CWR-04_Rev0</t>
        </is>
      </c>
      <c r="C277" s="21" t="n">
        <v>0</v>
      </c>
      <c r="D277" s="21" t="n">
        <v>46237</v>
      </c>
      <c r="E277" s="20" t="inlineStr">
        <is>
          <t>IFC-ISSUED FOR CONSTRUCTION</t>
        </is>
      </c>
      <c r="F277" s="21" t="n">
        <v>8631</v>
      </c>
      <c r="G277" s="20" t="inlineStr">
        <is>
          <t>PIPE B36.10/36.19 A333 6-SMLS BE BE</t>
        </is>
      </c>
      <c r="H277" s="20" t="inlineStr">
        <is>
          <t>A333</t>
        </is>
      </c>
      <c r="I277" s="22" t="n">
        <v>2</v>
      </c>
      <c r="J277" s="21" t="inlineStr">
        <is>
          <t>XS</t>
        </is>
      </c>
      <c r="K277" s="20" t="inlineStr">
        <is>
          <t>I64108762</t>
        </is>
      </c>
      <c r="L277" s="22" t="n">
        <v>0.1</v>
      </c>
      <c r="M277" s="20">
        <f>IFERROR(LEFT(B277,SEARCH("_Rev",B277)-1),B277)</f>
        <v/>
      </c>
      <c r="N277" s="20">
        <f>IF(B277="","",IF(ISNUMBER(C277),IF(COUNTIFS($M$3:$M$1026,M277,$C$3:$C$1026,"&gt;"&amp;C277)=0,"CURRENT","SUPERSEDED"),"CURRENT"))</f>
        <v/>
      </c>
      <c r="O277" s="19" t="n"/>
    </row>
    <row r="278">
      <c r="A278" s="19" t="n"/>
      <c r="B278" s="20" t="inlineStr">
        <is>
          <t>4503-XH-DL-8631-8631-5065-CWR-05_Rev0</t>
        </is>
      </c>
      <c r="C278" s="21" t="n">
        <v>0</v>
      </c>
      <c r="D278" s="21" t="n">
        <v>46237</v>
      </c>
      <c r="E278" s="20" t="inlineStr">
        <is>
          <t>IFC-ISSUED FOR CONSTRUCTION</t>
        </is>
      </c>
      <c r="F278" s="21" t="n">
        <v>8631</v>
      </c>
      <c r="G278" s="20" t="inlineStr">
        <is>
          <t>PIPE B36.10/36.19 A333 6-SMLS BE BE</t>
        </is>
      </c>
      <c r="H278" s="20" t="inlineStr">
        <is>
          <t>A333</t>
        </is>
      </c>
      <c r="I278" s="22" t="n">
        <v>10</v>
      </c>
      <c r="J278" s="21" t="inlineStr">
        <is>
          <t>STD</t>
        </is>
      </c>
      <c r="K278" s="20" t="inlineStr">
        <is>
          <t>I64108754</t>
        </is>
      </c>
      <c r="L278" s="22" t="n">
        <v>0.2</v>
      </c>
      <c r="M278" s="20">
        <f>IFERROR(LEFT(B278,SEARCH("_Rev",B278)-1),B278)</f>
        <v/>
      </c>
      <c r="N278" s="20">
        <f>IF(B278="","",IF(ISNUMBER(C278),IF(COUNTIFS($M$3:$M$1026,M278,$C$3:$C$1026,"&gt;"&amp;C278)=0,"CURRENT","SUPERSEDED"),"CURRENT"))</f>
        <v/>
      </c>
      <c r="O278" s="19" t="n"/>
    </row>
    <row r="279">
      <c r="A279" s="19" t="n"/>
      <c r="B279" s="20" t="inlineStr">
        <is>
          <t>4503-XH-DL-8631-8631-5068-CWR-01_Rev0</t>
        </is>
      </c>
      <c r="C279" s="21" t="n">
        <v>0</v>
      </c>
      <c r="D279" s="21" t="n">
        <v>46237</v>
      </c>
      <c r="E279" s="20" t="inlineStr">
        <is>
          <t>IFC-ISSUED FOR CONSTRUCTION</t>
        </is>
      </c>
      <c r="F279" s="21" t="n">
        <v>8631</v>
      </c>
      <c r="G279" s="20" t="inlineStr">
        <is>
          <t>PIPE B36.10/36.19 A671 CC60 CL.22 S2 BE BE</t>
        </is>
      </c>
      <c r="H279" s="20" t="inlineStr">
        <is>
          <t>A671</t>
        </is>
      </c>
      <c r="I279" s="22" t="n">
        <v>32</v>
      </c>
      <c r="J279" s="21" t="inlineStr">
        <is>
          <t>XS</t>
        </is>
      </c>
      <c r="K279" s="20" t="inlineStr">
        <is>
          <t>I65622125</t>
        </is>
      </c>
      <c r="L279" s="22" t="n">
        <v>17.9</v>
      </c>
      <c r="M279" s="20">
        <f>IFERROR(LEFT(B279,SEARCH("_Rev",B279)-1),B279)</f>
        <v/>
      </c>
      <c r="N279" s="20">
        <f>IF(B279="","",IF(ISNUMBER(C279),IF(COUNTIFS($M$3:$M$1026,M279,$C$3:$C$1026,"&gt;"&amp;C279)=0,"CURRENT","SUPERSEDED"),"CURRENT"))</f>
        <v/>
      </c>
      <c r="O279" s="19" t="n"/>
    </row>
    <row r="280">
      <c r="A280" s="19" t="n"/>
      <c r="B280" s="20" t="inlineStr">
        <is>
          <t>4503-XH-DL-8631-8631-5068-CWR-03_Rev0</t>
        </is>
      </c>
      <c r="C280" s="21" t="n">
        <v>0</v>
      </c>
      <c r="D280" s="21" t="n">
        <v>46237</v>
      </c>
      <c r="E280" s="20" t="inlineStr">
        <is>
          <t>IFC-ISSUED FOR CONSTRUCTION</t>
        </is>
      </c>
      <c r="F280" s="21" t="n">
        <v>8631</v>
      </c>
      <c r="G280" s="20" t="inlineStr">
        <is>
          <t>PIPE B36.10/36.19 A333 6-SMLS BE BE</t>
        </is>
      </c>
      <c r="H280" s="20" t="inlineStr">
        <is>
          <t>A333</t>
        </is>
      </c>
      <c r="I280" s="22" t="n">
        <v>2</v>
      </c>
      <c r="J280" s="21" t="inlineStr">
        <is>
          <t>XS</t>
        </is>
      </c>
      <c r="K280" s="20" t="inlineStr">
        <is>
          <t>I64108762</t>
        </is>
      </c>
      <c r="L280" s="22" t="n">
        <v>0.6</v>
      </c>
      <c r="M280" s="20">
        <f>IFERROR(LEFT(B280,SEARCH("_Rev",B280)-1),B280)</f>
        <v/>
      </c>
      <c r="N280" s="20">
        <f>IF(B280="","",IF(ISNUMBER(C280),IF(COUNTIFS($M$3:$M$1026,M280,$C$3:$C$1026,"&gt;"&amp;C280)=0,"CURRENT","SUPERSEDED"),"CURRENT"))</f>
        <v/>
      </c>
      <c r="O280" s="19" t="n"/>
    </row>
    <row r="281">
      <c r="A281" s="19" t="n"/>
      <c r="B281" s="20" t="inlineStr">
        <is>
          <t>4503-XH-DL-8631-8631-5068-CWR-04_Rev0</t>
        </is>
      </c>
      <c r="C281" s="21" t="n">
        <v>0</v>
      </c>
      <c r="D281" s="21" t="n">
        <v>46237</v>
      </c>
      <c r="E281" s="20" t="inlineStr">
        <is>
          <t>IFC-ISSUED FOR CONSTRUCTION</t>
        </is>
      </c>
      <c r="F281" s="21" t="n">
        <v>8631</v>
      </c>
      <c r="G281" s="20" t="inlineStr">
        <is>
          <t>PIPE B36.10/36.19 A333 6-SMLS BE BE</t>
        </is>
      </c>
      <c r="H281" s="20" t="inlineStr">
        <is>
          <t>A333</t>
        </is>
      </c>
      <c r="I281" s="22" t="n">
        <v>2</v>
      </c>
      <c r="J281" s="21" t="inlineStr">
        <is>
          <t>XS</t>
        </is>
      </c>
      <c r="K281" s="20" t="inlineStr">
        <is>
          <t>I64108762</t>
        </is>
      </c>
      <c r="L281" s="22" t="n">
        <v>0.1</v>
      </c>
      <c r="M281" s="20">
        <f>IFERROR(LEFT(B281,SEARCH("_Rev",B281)-1),B281)</f>
        <v/>
      </c>
      <c r="N281" s="20">
        <f>IF(B281="","",IF(ISNUMBER(C281),IF(COUNTIFS($M$3:$M$1026,M281,$C$3:$C$1026,"&gt;"&amp;C281)=0,"CURRENT","SUPERSEDED"),"CURRENT"))</f>
        <v/>
      </c>
      <c r="O281" s="19" t="n"/>
    </row>
    <row r="282">
      <c r="A282" s="19" t="n"/>
      <c r="B282" s="20" t="inlineStr">
        <is>
          <t>4503-XH-DL-8631-8631-5068-CWR-05_Rev0</t>
        </is>
      </c>
      <c r="C282" s="21" t="n">
        <v>0</v>
      </c>
      <c r="D282" s="21" t="n">
        <v>46237</v>
      </c>
      <c r="E282" s="20" t="inlineStr">
        <is>
          <t>IFC-ISSUED FOR CONSTRUCTION</t>
        </is>
      </c>
      <c r="F282" s="21" t="n">
        <v>8631</v>
      </c>
      <c r="G282" s="20" t="inlineStr">
        <is>
          <t>PIPE B36.10/36.19 A333 6-SMLS BE BE</t>
        </is>
      </c>
      <c r="H282" s="20" t="inlineStr">
        <is>
          <t>A333</t>
        </is>
      </c>
      <c r="I282" s="22" t="n">
        <v>10</v>
      </c>
      <c r="J282" s="21" t="inlineStr">
        <is>
          <t>STD</t>
        </is>
      </c>
      <c r="K282" s="20" t="inlineStr">
        <is>
          <t>I64108754</t>
        </is>
      </c>
      <c r="L282" s="22" t="n">
        <v>0.2</v>
      </c>
      <c r="M282" s="20">
        <f>IFERROR(LEFT(B282,SEARCH("_Rev",B282)-1),B282)</f>
        <v/>
      </c>
      <c r="N282" s="20">
        <f>IF(B282="","",IF(ISNUMBER(C282),IF(COUNTIFS($M$3:$M$1026,M282,$C$3:$C$1026,"&gt;"&amp;C282)=0,"CURRENT","SUPERSEDED"),"CURRENT"))</f>
        <v/>
      </c>
      <c r="O282" s="19" t="n"/>
    </row>
    <row r="283">
      <c r="A283" s="19" t="n"/>
      <c r="B283" s="20" t="inlineStr">
        <is>
          <t>4503-XH-DL-8631-8631-5069-CWR-01_Rev0</t>
        </is>
      </c>
      <c r="C283" s="21" t="n">
        <v>0</v>
      </c>
      <c r="D283" s="21" t="n">
        <v>46237</v>
      </c>
      <c r="E283" s="20" t="inlineStr">
        <is>
          <t>IFC-ISSUED FOR CONSTRUCTION</t>
        </is>
      </c>
      <c r="F283" s="21" t="n">
        <v>8631</v>
      </c>
      <c r="G283" s="20" t="inlineStr">
        <is>
          <t>PIPE B36.10/36.19 A671 CC60 CL.22 S2 BE BE</t>
        </is>
      </c>
      <c r="H283" s="20" t="inlineStr">
        <is>
          <t>A671</t>
        </is>
      </c>
      <c r="I283" s="22" t="n">
        <v>32</v>
      </c>
      <c r="J283" s="21" t="inlineStr">
        <is>
          <t>XS</t>
        </is>
      </c>
      <c r="K283" s="20" t="inlineStr">
        <is>
          <t>I65622125</t>
        </is>
      </c>
      <c r="L283" s="22" t="n">
        <v>17.9</v>
      </c>
      <c r="M283" s="20">
        <f>IFERROR(LEFT(B283,SEARCH("_Rev",B283)-1),B283)</f>
        <v/>
      </c>
      <c r="N283" s="20">
        <f>IF(B283="","",IF(ISNUMBER(C283),IF(COUNTIFS($M$3:$M$1026,M283,$C$3:$C$1026,"&gt;"&amp;C283)=0,"CURRENT","SUPERSEDED"),"CURRENT"))</f>
        <v/>
      </c>
      <c r="O283" s="19" t="n"/>
    </row>
    <row r="284">
      <c r="A284" s="19" t="n"/>
      <c r="B284" s="20" t="inlineStr">
        <is>
          <t>4503-XH-DL-8631-8631-5069-CWR-03_Rev0</t>
        </is>
      </c>
      <c r="C284" s="21" t="n">
        <v>0</v>
      </c>
      <c r="D284" s="21" t="n">
        <v>46237</v>
      </c>
      <c r="E284" s="20" t="inlineStr">
        <is>
          <t>IFC-ISSUED FOR CONSTRUCTION</t>
        </is>
      </c>
      <c r="F284" s="21" t="n">
        <v>8631</v>
      </c>
      <c r="G284" s="20" t="inlineStr">
        <is>
          <t>PIPE B36.10/36.19 A333 6-SMLS BE BE</t>
        </is>
      </c>
      <c r="H284" s="20" t="inlineStr">
        <is>
          <t>A333</t>
        </is>
      </c>
      <c r="I284" s="22" t="n">
        <v>2</v>
      </c>
      <c r="J284" s="21" t="inlineStr">
        <is>
          <t>XS</t>
        </is>
      </c>
      <c r="K284" s="20" t="inlineStr">
        <is>
          <t>I64108762</t>
        </is>
      </c>
      <c r="L284" s="22" t="n">
        <v>0.6</v>
      </c>
      <c r="M284" s="20">
        <f>IFERROR(LEFT(B284,SEARCH("_Rev",B284)-1),B284)</f>
        <v/>
      </c>
      <c r="N284" s="20">
        <f>IF(B284="","",IF(ISNUMBER(C284),IF(COUNTIFS($M$3:$M$1026,M284,$C$3:$C$1026,"&gt;"&amp;C284)=0,"CURRENT","SUPERSEDED"),"CURRENT"))</f>
        <v/>
      </c>
      <c r="O284" s="19" t="n"/>
    </row>
    <row r="285">
      <c r="A285" s="19" t="n"/>
      <c r="B285" s="20" t="inlineStr">
        <is>
          <t>4503-XH-DL-8631-8631-5069-CWR-04_Rev0</t>
        </is>
      </c>
      <c r="C285" s="21" t="n">
        <v>0</v>
      </c>
      <c r="D285" s="21" t="n">
        <v>46237</v>
      </c>
      <c r="E285" s="20" t="inlineStr">
        <is>
          <t>IFC-ISSUED FOR CONSTRUCTION</t>
        </is>
      </c>
      <c r="F285" s="21" t="n">
        <v>8631</v>
      </c>
      <c r="G285" s="20" t="inlineStr">
        <is>
          <t>PIPE B36.10/36.19 A333 6-SMLS BE BE</t>
        </is>
      </c>
      <c r="H285" s="20" t="inlineStr">
        <is>
          <t>A333</t>
        </is>
      </c>
      <c r="I285" s="22" t="n">
        <v>2</v>
      </c>
      <c r="J285" s="21" t="inlineStr">
        <is>
          <t>XS</t>
        </is>
      </c>
      <c r="K285" s="20" t="inlineStr">
        <is>
          <t>I64108762</t>
        </is>
      </c>
      <c r="L285" s="22" t="n">
        <v>0.1</v>
      </c>
      <c r="M285" s="20">
        <f>IFERROR(LEFT(B285,SEARCH("_Rev",B285)-1),B285)</f>
        <v/>
      </c>
      <c r="N285" s="20">
        <f>IF(B285="","",IF(ISNUMBER(C285),IF(COUNTIFS($M$3:$M$1026,M285,$C$3:$C$1026,"&gt;"&amp;C285)=0,"CURRENT","SUPERSEDED"),"CURRENT"))</f>
        <v/>
      </c>
      <c r="O285" s="19" t="n"/>
    </row>
    <row r="286">
      <c r="A286" s="19" t="n"/>
      <c r="B286" s="20" t="inlineStr">
        <is>
          <t>4503-XH-DL-8631-8631-5069-CWR-05_Rev0</t>
        </is>
      </c>
      <c r="C286" s="21" t="n">
        <v>0</v>
      </c>
      <c r="D286" s="21" t="n">
        <v>46237</v>
      </c>
      <c r="E286" s="20" t="inlineStr">
        <is>
          <t>IFC-ISSUED FOR CONSTRUCTION</t>
        </is>
      </c>
      <c r="F286" s="21" t="n">
        <v>8631</v>
      </c>
      <c r="G286" s="20" t="inlineStr">
        <is>
          <t>PIPE B36.10/36.19 A333 6-SMLS BE BE</t>
        </is>
      </c>
      <c r="H286" s="20" t="inlineStr">
        <is>
          <t>A333</t>
        </is>
      </c>
      <c r="I286" s="22" t="n">
        <v>10</v>
      </c>
      <c r="J286" s="21" t="inlineStr">
        <is>
          <t>STD</t>
        </is>
      </c>
      <c r="K286" s="20" t="inlineStr">
        <is>
          <t>I64108754</t>
        </is>
      </c>
      <c r="L286" s="22" t="n">
        <v>0.2</v>
      </c>
      <c r="M286" s="20">
        <f>IFERROR(LEFT(B286,SEARCH("_Rev",B286)-1),B286)</f>
        <v/>
      </c>
      <c r="N286" s="20">
        <f>IF(B286="","",IF(ISNUMBER(C286),IF(COUNTIFS($M$3:$M$1026,M286,$C$3:$C$1026,"&gt;"&amp;C286)=0,"CURRENT","SUPERSEDED"),"CURRENT"))</f>
        <v/>
      </c>
      <c r="O286" s="19" t="n"/>
    </row>
    <row r="287">
      <c r="A287" s="19" t="n"/>
      <c r="B287" s="20" t="inlineStr">
        <is>
          <t>4503-XH-DL-8631-8631-5070-CWR-01_Rev0</t>
        </is>
      </c>
      <c r="C287" s="21" t="n">
        <v>0</v>
      </c>
      <c r="D287" s="21" t="n">
        <v>46237</v>
      </c>
      <c r="E287" s="20" t="inlineStr">
        <is>
          <t>IFC-ISSUED FOR CONSTRUCTION</t>
        </is>
      </c>
      <c r="F287" s="21" t="n">
        <v>8631</v>
      </c>
      <c r="G287" s="20" t="inlineStr">
        <is>
          <t>PIPE B36.10/36.19 A333 6-SMLS BE BE</t>
        </is>
      </c>
      <c r="H287" s="20" t="inlineStr">
        <is>
          <t>A333</t>
        </is>
      </c>
      <c r="I287" s="22" t="n">
        <v>6</v>
      </c>
      <c r="J287" s="21" t="inlineStr">
        <is>
          <t>STD</t>
        </is>
      </c>
      <c r="K287" s="20" t="inlineStr">
        <is>
          <t>I63649156</t>
        </is>
      </c>
      <c r="L287" s="22" t="n">
        <v>9.800000000000001</v>
      </c>
      <c r="M287" s="20">
        <f>IFERROR(LEFT(B287,SEARCH("_Rev",B287)-1),B287)</f>
        <v/>
      </c>
      <c r="N287" s="20">
        <f>IF(B287="","",IF(ISNUMBER(C287),IF(COUNTIFS($M$3:$M$1026,M287,$C$3:$C$1026,"&gt;"&amp;C287)=0,"CURRENT","SUPERSEDED"),"CURRENT"))</f>
        <v/>
      </c>
      <c r="O287" s="19" t="n"/>
    </row>
    <row r="288">
      <c r="A288" s="19" t="n"/>
      <c r="B288" s="20" t="inlineStr">
        <is>
          <t>4503-XH-DL-8631-8631-5070-CWR-01_Rev0</t>
        </is>
      </c>
      <c r="C288" s="21" t="n">
        <v>0</v>
      </c>
      <c r="D288" s="21" t="n">
        <v>46237</v>
      </c>
      <c r="E288" s="20" t="inlineStr">
        <is>
          <t>IFC-ISSUED FOR CONSTRUCTION</t>
        </is>
      </c>
      <c r="F288" s="21" t="n">
        <v>8631</v>
      </c>
      <c r="G288" s="20" t="inlineStr">
        <is>
          <t>PIPE B36.10/36.19 A333 6-SMLS BE BE</t>
        </is>
      </c>
      <c r="H288" s="20" t="inlineStr">
        <is>
          <t>A333</t>
        </is>
      </c>
      <c r="I288" s="22" t="n">
        <v>2</v>
      </c>
      <c r="J288" s="21" t="inlineStr">
        <is>
          <t>XS</t>
        </is>
      </c>
      <c r="K288" s="20" t="inlineStr">
        <is>
          <t>I64108762</t>
        </is>
      </c>
      <c r="L288" s="22" t="n">
        <v>1.1</v>
      </c>
      <c r="M288" s="20">
        <f>IFERROR(LEFT(B288,SEARCH("_Rev",B288)-1),B288)</f>
        <v/>
      </c>
      <c r="N288" s="20">
        <f>IF(B288="","",IF(ISNUMBER(C288),IF(COUNTIFS($M$3:$M$1026,M288,$C$3:$C$1026,"&gt;"&amp;C288)=0,"CURRENT","SUPERSEDED"),"CURRENT"))</f>
        <v/>
      </c>
      <c r="O288" s="19" t="n"/>
    </row>
    <row r="289">
      <c r="A289" s="19" t="n"/>
      <c r="B289" s="20" t="inlineStr">
        <is>
          <t>4503-XH-DL-8631-8631-5070-CWR-02_Rev0</t>
        </is>
      </c>
      <c r="C289" s="21" t="n">
        <v>0</v>
      </c>
      <c r="D289" s="21" t="n">
        <v>46237</v>
      </c>
      <c r="E289" s="20" t="inlineStr">
        <is>
          <t>IFC-ISSUED FOR CONSTRUCTION</t>
        </is>
      </c>
      <c r="F289" s="21" t="n">
        <v>8631</v>
      </c>
      <c r="G289" s="20" t="inlineStr">
        <is>
          <t>PIPE B36.10/36.19 A333 6-SMLS BE BE</t>
        </is>
      </c>
      <c r="H289" s="20" t="inlineStr">
        <is>
          <t>A333</t>
        </is>
      </c>
      <c r="I289" s="22" t="n">
        <v>2</v>
      </c>
      <c r="J289" s="21" t="inlineStr">
        <is>
          <t>XS</t>
        </is>
      </c>
      <c r="K289" s="20" t="inlineStr">
        <is>
          <t>I64108762</t>
        </is>
      </c>
      <c r="L289" s="22" t="n">
        <v>2.5</v>
      </c>
      <c r="M289" s="20">
        <f>IFERROR(LEFT(B289,SEARCH("_Rev",B289)-1),B289)</f>
        <v/>
      </c>
      <c r="N289" s="20">
        <f>IF(B289="","",IF(ISNUMBER(C289),IF(COUNTIFS($M$3:$M$1026,M289,$C$3:$C$1026,"&gt;"&amp;C289)=0,"CURRENT","SUPERSEDED"),"CURRENT"))</f>
        <v/>
      </c>
      <c r="O289" s="19" t="n"/>
    </row>
    <row r="290">
      <c r="A290" s="19" t="n"/>
      <c r="B290" s="20" t="inlineStr">
        <is>
          <t>4503-XH-DL-8631-8631-5071-CWR-01_Rev0</t>
        </is>
      </c>
      <c r="C290" s="21" t="n">
        <v>0</v>
      </c>
      <c r="D290" s="21" t="n">
        <v>46237</v>
      </c>
      <c r="E290" s="20" t="inlineStr">
        <is>
          <t>IFC-ISSUED FOR CONSTRUCTION</t>
        </is>
      </c>
      <c r="F290" s="21" t="n">
        <v>8631</v>
      </c>
      <c r="G290" s="20" t="inlineStr">
        <is>
          <t>PIPE B36.10/36.19 A333 6-SMLS BE BE</t>
        </is>
      </c>
      <c r="H290" s="20" t="inlineStr">
        <is>
          <t>A333</t>
        </is>
      </c>
      <c r="I290" s="22" t="n">
        <v>6</v>
      </c>
      <c r="J290" s="21" t="inlineStr">
        <is>
          <t>STD</t>
        </is>
      </c>
      <c r="K290" s="20" t="inlineStr">
        <is>
          <t>I63649156</t>
        </is>
      </c>
      <c r="L290" s="22" t="n">
        <v>9.800000000000001</v>
      </c>
      <c r="M290" s="20">
        <f>IFERROR(LEFT(B290,SEARCH("_Rev",B290)-1),B290)</f>
        <v/>
      </c>
      <c r="N290" s="20">
        <f>IF(B290="","",IF(ISNUMBER(C290),IF(COUNTIFS($M$3:$M$1026,M290,$C$3:$C$1026,"&gt;"&amp;C290)=0,"CURRENT","SUPERSEDED"),"CURRENT"))</f>
        <v/>
      </c>
      <c r="O290" s="19" t="n"/>
    </row>
    <row r="291">
      <c r="A291" s="19" t="n"/>
      <c r="B291" s="20" t="inlineStr">
        <is>
          <t>4503-XH-DL-8631-8631-5071-CWR-01_Rev0</t>
        </is>
      </c>
      <c r="C291" s="21" t="n">
        <v>0</v>
      </c>
      <c r="D291" s="21" t="n">
        <v>46237</v>
      </c>
      <c r="E291" s="20" t="inlineStr">
        <is>
          <t>IFC-ISSUED FOR CONSTRUCTION</t>
        </is>
      </c>
      <c r="F291" s="21" t="n">
        <v>8631</v>
      </c>
      <c r="G291" s="20" t="inlineStr">
        <is>
          <t>PIPE B36.10/36.19 A333 6-SMLS BE BE</t>
        </is>
      </c>
      <c r="H291" s="20" t="inlineStr">
        <is>
          <t>A333</t>
        </is>
      </c>
      <c r="I291" s="22" t="n">
        <v>2</v>
      </c>
      <c r="J291" s="21" t="inlineStr">
        <is>
          <t>XS</t>
        </is>
      </c>
      <c r="K291" s="20" t="inlineStr">
        <is>
          <t>I64108762</t>
        </is>
      </c>
      <c r="L291" s="22" t="n">
        <v>1.1</v>
      </c>
      <c r="M291" s="20">
        <f>IFERROR(LEFT(B291,SEARCH("_Rev",B291)-1),B291)</f>
        <v/>
      </c>
      <c r="N291" s="20">
        <f>IF(B291="","",IF(ISNUMBER(C291),IF(COUNTIFS($M$3:$M$1026,M291,$C$3:$C$1026,"&gt;"&amp;C291)=0,"CURRENT","SUPERSEDED"),"CURRENT"))</f>
        <v/>
      </c>
      <c r="O291" s="19" t="n"/>
    </row>
    <row r="292">
      <c r="A292" s="19" t="n"/>
      <c r="B292" s="20" t="inlineStr">
        <is>
          <t>4503-XH-DL-8631-8631-5071-CWR-02_Rev0</t>
        </is>
      </c>
      <c r="C292" s="21" t="n">
        <v>0</v>
      </c>
      <c r="D292" s="21" t="n">
        <v>46237</v>
      </c>
      <c r="E292" s="20" t="inlineStr">
        <is>
          <t>IFC-ISSUED FOR CONSTRUCTION</t>
        </is>
      </c>
      <c r="F292" s="21" t="n">
        <v>8631</v>
      </c>
      <c r="G292" s="20" t="inlineStr">
        <is>
          <t>PIPE B36.10/36.19 A333 6-SMLS BE BE</t>
        </is>
      </c>
      <c r="H292" s="20" t="inlineStr">
        <is>
          <t>A333</t>
        </is>
      </c>
      <c r="I292" s="22" t="n">
        <v>2</v>
      </c>
      <c r="J292" s="21" t="inlineStr">
        <is>
          <t>XS</t>
        </is>
      </c>
      <c r="K292" s="20" t="inlineStr">
        <is>
          <t>I64108762</t>
        </is>
      </c>
      <c r="L292" s="22" t="n">
        <v>2.5</v>
      </c>
      <c r="M292" s="20">
        <f>IFERROR(LEFT(B292,SEARCH("_Rev",B292)-1),B292)</f>
        <v/>
      </c>
      <c r="N292" s="20">
        <f>IF(B292="","",IF(ISNUMBER(C292),IF(COUNTIFS($M$3:$M$1026,M292,$C$3:$C$1026,"&gt;"&amp;C292)=0,"CURRENT","SUPERSEDED"),"CURRENT"))</f>
        <v/>
      </c>
      <c r="O292" s="19" t="n"/>
    </row>
    <row r="293">
      <c r="A293" s="19" t="n"/>
      <c r="B293" s="20" t="inlineStr">
        <is>
          <t>4503-XH-DL-8631-8631-5072-CWR-01_Rev0</t>
        </is>
      </c>
      <c r="C293" s="21" t="n">
        <v>0</v>
      </c>
      <c r="D293" s="21" t="n">
        <v>46237</v>
      </c>
      <c r="E293" s="20" t="inlineStr">
        <is>
          <t>IFC-ISSUED FOR CONSTRUCTION</t>
        </is>
      </c>
      <c r="F293" s="21" t="n">
        <v>8631</v>
      </c>
      <c r="G293" s="20" t="inlineStr">
        <is>
          <t>PIPE B36.10/36.19 A671 CC60 CL.22 S2 BE BE</t>
        </is>
      </c>
      <c r="H293" s="20" t="inlineStr">
        <is>
          <t>A671</t>
        </is>
      </c>
      <c r="I293" s="22" t="n">
        <v>28</v>
      </c>
      <c r="J293" s="21" t="inlineStr">
        <is>
          <t>XS</t>
        </is>
      </c>
      <c r="K293" s="20" t="inlineStr">
        <is>
          <t>I65622127</t>
        </is>
      </c>
      <c r="L293" s="22" t="n">
        <v>3.6</v>
      </c>
      <c r="M293" s="20">
        <f>IFERROR(LEFT(B293,SEARCH("_Rev",B293)-1),B293)</f>
        <v/>
      </c>
      <c r="N293" s="20">
        <f>IF(B293="","",IF(ISNUMBER(C293),IF(COUNTIFS($M$3:$M$1026,M293,$C$3:$C$1026,"&gt;"&amp;C293)=0,"CURRENT","SUPERSEDED"),"CURRENT"))</f>
        <v/>
      </c>
      <c r="O293" s="19" t="n"/>
    </row>
    <row r="294">
      <c r="A294" s="19" t="n"/>
      <c r="B294" s="20" t="inlineStr">
        <is>
          <t>4503-XH-DL-8631-8631-5073-CWR-01_Rev0</t>
        </is>
      </c>
      <c r="C294" s="21" t="n">
        <v>0</v>
      </c>
      <c r="D294" s="21" t="n">
        <v>46237</v>
      </c>
      <c r="E294" s="20" t="inlineStr">
        <is>
          <t>IFC-ISSUED FOR CONSTRUCTION</t>
        </is>
      </c>
      <c r="F294" s="21" t="n">
        <v>8631</v>
      </c>
      <c r="G294" s="20" t="inlineStr">
        <is>
          <t>PIPE B36.10/36.19 A671 CC60 CL.22 S2 BE BE</t>
        </is>
      </c>
      <c r="H294" s="20" t="inlineStr">
        <is>
          <t>A671</t>
        </is>
      </c>
      <c r="I294" s="22" t="n">
        <v>28</v>
      </c>
      <c r="J294" s="21" t="inlineStr">
        <is>
          <t>XS</t>
        </is>
      </c>
      <c r="K294" s="20" t="inlineStr">
        <is>
          <t>I65622127</t>
        </is>
      </c>
      <c r="L294" s="22" t="n">
        <v>3.6</v>
      </c>
      <c r="M294" s="20">
        <f>IFERROR(LEFT(B294,SEARCH("_Rev",B294)-1),B294)</f>
        <v/>
      </c>
      <c r="N294" s="20">
        <f>IF(B294="","",IF(ISNUMBER(C294),IF(COUNTIFS($M$3:$M$1026,M294,$C$3:$C$1026,"&gt;"&amp;C294)=0,"CURRENT","SUPERSEDED"),"CURRENT"))</f>
        <v/>
      </c>
      <c r="O294" s="19" t="n"/>
    </row>
    <row r="295">
      <c r="A295" s="19" t="n"/>
      <c r="B295" s="20" t="inlineStr">
        <is>
          <t>4503-XH-DL-8631-8631-5074-CWR-01_Rev0</t>
        </is>
      </c>
      <c r="C295" s="21" t="n">
        <v>0</v>
      </c>
      <c r="D295" s="21" t="n">
        <v>46237</v>
      </c>
      <c r="E295" s="20" t="inlineStr">
        <is>
          <t>IFC-ISSUED FOR CONSTRUCTION</t>
        </is>
      </c>
      <c r="F295" s="21" t="n">
        <v>8631</v>
      </c>
      <c r="G295" s="20" t="inlineStr">
        <is>
          <t>PIPE B36.10/36.19 A333 6-SMLS BE BE</t>
        </is>
      </c>
      <c r="H295" s="20" t="inlineStr">
        <is>
          <t>A333</t>
        </is>
      </c>
      <c r="I295" s="22" t="n">
        <v>6</v>
      </c>
      <c r="J295" s="21" t="inlineStr">
        <is>
          <t>STD</t>
        </is>
      </c>
      <c r="K295" s="20" t="inlineStr">
        <is>
          <t>I63649156</t>
        </is>
      </c>
      <c r="L295" s="22" t="n">
        <v>11.5</v>
      </c>
      <c r="M295" s="20">
        <f>IFERROR(LEFT(B295,SEARCH("_Rev",B295)-1),B295)</f>
        <v/>
      </c>
      <c r="N295" s="20">
        <f>IF(B295="","",IF(ISNUMBER(C295),IF(COUNTIFS($M$3:$M$1026,M295,$C$3:$C$1026,"&gt;"&amp;C295)=0,"CURRENT","SUPERSEDED"),"CURRENT"))</f>
        <v/>
      </c>
      <c r="O295" s="19" t="n"/>
    </row>
    <row r="296">
      <c r="A296" s="19" t="n"/>
      <c r="B296" s="20" t="inlineStr">
        <is>
          <t>4503-XH-DL-8631-8631-5074-CWR-01_Rev0</t>
        </is>
      </c>
      <c r="C296" s="21" t="n">
        <v>0</v>
      </c>
      <c r="D296" s="21" t="n">
        <v>46237</v>
      </c>
      <c r="E296" s="20" t="inlineStr">
        <is>
          <t>IFC-ISSUED FOR CONSTRUCTION</t>
        </is>
      </c>
      <c r="F296" s="21" t="n">
        <v>8631</v>
      </c>
      <c r="G296" s="20" t="inlineStr">
        <is>
          <t>PIPE B36.10/36.19 A333 6-SMLS BE BE</t>
        </is>
      </c>
      <c r="H296" s="20" t="inlineStr">
        <is>
          <t>A333</t>
        </is>
      </c>
      <c r="I296" s="22" t="n">
        <v>2</v>
      </c>
      <c r="J296" s="21" t="inlineStr">
        <is>
          <t>XS</t>
        </is>
      </c>
      <c r="K296" s="20" t="inlineStr">
        <is>
          <t>I64108762</t>
        </is>
      </c>
      <c r="L296" s="22" t="n">
        <v>1.1</v>
      </c>
      <c r="M296" s="20">
        <f>IFERROR(LEFT(B296,SEARCH("_Rev",B296)-1),B296)</f>
        <v/>
      </c>
      <c r="N296" s="20">
        <f>IF(B296="","",IF(ISNUMBER(C296),IF(COUNTIFS($M$3:$M$1026,M296,$C$3:$C$1026,"&gt;"&amp;C296)=0,"CURRENT","SUPERSEDED"),"CURRENT"))</f>
        <v/>
      </c>
      <c r="O296" s="19" t="n"/>
    </row>
    <row r="297">
      <c r="A297" s="19" t="n"/>
      <c r="B297" s="20" t="inlineStr">
        <is>
          <t>4503-XH-DL-8631-8631-5074-CWR-02_Rev0</t>
        </is>
      </c>
      <c r="C297" s="21" t="n">
        <v>0</v>
      </c>
      <c r="D297" s="21" t="n">
        <v>46237</v>
      </c>
      <c r="E297" s="20" t="inlineStr">
        <is>
          <t>IFC-ISSUED FOR CONSTRUCTION</t>
        </is>
      </c>
      <c r="F297" s="21" t="n">
        <v>8631</v>
      </c>
      <c r="G297" s="20" t="inlineStr">
        <is>
          <t>PIPE B36.10/36.19 A333 6-SMLS BE BE</t>
        </is>
      </c>
      <c r="H297" s="20" t="inlineStr">
        <is>
          <t>A333</t>
        </is>
      </c>
      <c r="I297" s="22" t="n">
        <v>2</v>
      </c>
      <c r="J297" s="21" t="inlineStr">
        <is>
          <t>XS</t>
        </is>
      </c>
      <c r="K297" s="20" t="inlineStr">
        <is>
          <t>I64108762</t>
        </is>
      </c>
      <c r="L297" s="22" t="n">
        <v>0.6</v>
      </c>
      <c r="M297" s="20">
        <f>IFERROR(LEFT(B297,SEARCH("_Rev",B297)-1),B297)</f>
        <v/>
      </c>
      <c r="N297" s="20">
        <f>IF(B297="","",IF(ISNUMBER(C297),IF(COUNTIFS($M$3:$M$1026,M297,$C$3:$C$1026,"&gt;"&amp;C297)=0,"CURRENT","SUPERSEDED"),"CURRENT"))</f>
        <v/>
      </c>
      <c r="O297" s="19" t="n"/>
    </row>
    <row r="298">
      <c r="A298" s="19" t="n"/>
      <c r="B298" s="20" t="inlineStr">
        <is>
          <t>4503-XH-DL-8631-8631-5074-CWR-03_Rev0</t>
        </is>
      </c>
      <c r="C298" s="21" t="n">
        <v>0</v>
      </c>
      <c r="D298" s="21" t="n">
        <v>46237</v>
      </c>
      <c r="E298" s="20" t="inlineStr">
        <is>
          <t>IFC-ISSUED FOR CONSTRUCTION</t>
        </is>
      </c>
      <c r="F298" s="21" t="n">
        <v>8631</v>
      </c>
      <c r="G298" s="20" t="inlineStr">
        <is>
          <t>PIPE B36.10/36.19 A333 6-SMLS BE BE</t>
        </is>
      </c>
      <c r="H298" s="20" t="inlineStr">
        <is>
          <t>A333</t>
        </is>
      </c>
      <c r="I298" s="22" t="n">
        <v>2</v>
      </c>
      <c r="J298" s="21" t="inlineStr">
        <is>
          <t>XS</t>
        </is>
      </c>
      <c r="K298" s="20" t="inlineStr">
        <is>
          <t>I64108762</t>
        </is>
      </c>
      <c r="L298" s="22" t="n">
        <v>5.9</v>
      </c>
      <c r="M298" s="20">
        <f>IFERROR(LEFT(B298,SEARCH("_Rev",B298)-1),B298)</f>
        <v/>
      </c>
      <c r="N298" s="20">
        <f>IF(B298="","",IF(ISNUMBER(C298),IF(COUNTIFS($M$3:$M$1026,M298,$C$3:$C$1026,"&gt;"&amp;C298)=0,"CURRENT","SUPERSEDED"),"CURRENT"))</f>
        <v/>
      </c>
      <c r="O298" s="19" t="n"/>
    </row>
    <row r="299">
      <c r="A299" s="19" t="n"/>
      <c r="B299" s="20" t="inlineStr">
        <is>
          <t>4503-XH-DL-8631-8631-5074-CWR-03_Rev0</t>
        </is>
      </c>
      <c r="C299" s="21" t="n">
        <v>0</v>
      </c>
      <c r="D299" s="21" t="n">
        <v>46237</v>
      </c>
      <c r="E299" s="20" t="inlineStr">
        <is>
          <t>IFC-ISSUED FOR CONSTRUCTION</t>
        </is>
      </c>
      <c r="F299" s="21" t="n">
        <v>8631</v>
      </c>
      <c r="G299" s="20" t="inlineStr">
        <is>
          <t>PIPE B36.10/36.19 A333 6-SMLS PE PE</t>
        </is>
      </c>
      <c r="H299" s="20" t="inlineStr">
        <is>
          <t>A333</t>
        </is>
      </c>
      <c r="I299" s="22" t="n">
        <v>1</v>
      </c>
      <c r="J299" s="21" t="inlineStr">
        <is>
          <t>160</t>
        </is>
      </c>
      <c r="K299" s="20" t="inlineStr">
        <is>
          <t>I64108817</t>
        </is>
      </c>
      <c r="L299" s="22" t="n">
        <v>0.2</v>
      </c>
      <c r="M299" s="20">
        <f>IFERROR(LEFT(B299,SEARCH("_Rev",B299)-1),B299)</f>
        <v/>
      </c>
      <c r="N299" s="20">
        <f>IF(B299="","",IF(ISNUMBER(C299),IF(COUNTIFS($M$3:$M$1026,M299,$C$3:$C$1026,"&gt;"&amp;C299)=0,"CURRENT","SUPERSEDED"),"CURRENT"))</f>
        <v/>
      </c>
      <c r="O299" s="19" t="n"/>
    </row>
    <row r="300">
      <c r="A300" s="19" t="n"/>
      <c r="B300" s="20" t="inlineStr">
        <is>
          <t>4503-XH-DL-8631-8631-5075-CWR-01_Rev0</t>
        </is>
      </c>
      <c r="C300" s="21" t="n">
        <v>0</v>
      </c>
      <c r="D300" s="21" t="n">
        <v>46237</v>
      </c>
      <c r="E300" s="20" t="inlineStr">
        <is>
          <t>IFC-ISSUED FOR CONSTRUCTION</t>
        </is>
      </c>
      <c r="F300" s="21" t="n">
        <v>8631</v>
      </c>
      <c r="G300" s="20" t="inlineStr">
        <is>
          <t>PIPE B36.10/36.19 A333 6-SMLS BE BE</t>
        </is>
      </c>
      <c r="H300" s="20" t="inlineStr">
        <is>
          <t>A333</t>
        </is>
      </c>
      <c r="I300" s="22" t="n">
        <v>6</v>
      </c>
      <c r="J300" s="21" t="inlineStr">
        <is>
          <t>STD</t>
        </is>
      </c>
      <c r="K300" s="20" t="inlineStr">
        <is>
          <t>I63649156</t>
        </is>
      </c>
      <c r="L300" s="22" t="n">
        <v>9.800000000000001</v>
      </c>
      <c r="M300" s="20">
        <f>IFERROR(LEFT(B300,SEARCH("_Rev",B300)-1),B300)</f>
        <v/>
      </c>
      <c r="N300" s="20">
        <f>IF(B300="","",IF(ISNUMBER(C300),IF(COUNTIFS($M$3:$M$1026,M300,$C$3:$C$1026,"&gt;"&amp;C300)=0,"CURRENT","SUPERSEDED"),"CURRENT"))</f>
        <v/>
      </c>
      <c r="O300" s="19" t="n"/>
    </row>
    <row r="301">
      <c r="A301" s="19" t="n"/>
      <c r="B301" s="20" t="inlineStr">
        <is>
          <t>4503-XH-DL-8631-8631-5075-CWR-01_Rev0</t>
        </is>
      </c>
      <c r="C301" s="21" t="n">
        <v>0</v>
      </c>
      <c r="D301" s="21" t="n">
        <v>46237</v>
      </c>
      <c r="E301" s="20" t="inlineStr">
        <is>
          <t>IFC-ISSUED FOR CONSTRUCTION</t>
        </is>
      </c>
      <c r="F301" s="21" t="n">
        <v>8631</v>
      </c>
      <c r="G301" s="20" t="inlineStr">
        <is>
          <t>PIPE B36.10/36.19 A333 6-SMLS BE BE</t>
        </is>
      </c>
      <c r="H301" s="20" t="inlineStr">
        <is>
          <t>A333</t>
        </is>
      </c>
      <c r="I301" s="22" t="n">
        <v>2</v>
      </c>
      <c r="J301" s="21" t="inlineStr">
        <is>
          <t>XS</t>
        </is>
      </c>
      <c r="K301" s="20" t="inlineStr">
        <is>
          <t>I64108762</t>
        </is>
      </c>
      <c r="L301" s="22" t="n">
        <v>1.1</v>
      </c>
      <c r="M301" s="20">
        <f>IFERROR(LEFT(B301,SEARCH("_Rev",B301)-1),B301)</f>
        <v/>
      </c>
      <c r="N301" s="20">
        <f>IF(B301="","",IF(ISNUMBER(C301),IF(COUNTIFS($M$3:$M$1026,M301,$C$3:$C$1026,"&gt;"&amp;C301)=0,"CURRENT","SUPERSEDED"),"CURRENT"))</f>
        <v/>
      </c>
      <c r="O301" s="19" t="n"/>
    </row>
    <row r="302">
      <c r="A302" s="19" t="n"/>
      <c r="B302" s="20" t="inlineStr">
        <is>
          <t>4503-XH-DL-8631-8631-5075-CWR-02_Rev0</t>
        </is>
      </c>
      <c r="C302" s="21" t="n">
        <v>0</v>
      </c>
      <c r="D302" s="21" t="n">
        <v>46237</v>
      </c>
      <c r="E302" s="20" t="inlineStr">
        <is>
          <t>IFC-ISSUED FOR CONSTRUCTION</t>
        </is>
      </c>
      <c r="F302" s="21" t="n">
        <v>8631</v>
      </c>
      <c r="G302" s="20" t="inlineStr">
        <is>
          <t>PIPE B36.10/36.19 A333 6-SMLS BE BE</t>
        </is>
      </c>
      <c r="H302" s="20" t="inlineStr">
        <is>
          <t>A333</t>
        </is>
      </c>
      <c r="I302" s="22" t="n">
        <v>2</v>
      </c>
      <c r="J302" s="21" t="inlineStr">
        <is>
          <t>XS</t>
        </is>
      </c>
      <c r="K302" s="20" t="inlineStr">
        <is>
          <t>I64108762</t>
        </is>
      </c>
      <c r="L302" s="22" t="n">
        <v>2.5</v>
      </c>
      <c r="M302" s="20">
        <f>IFERROR(LEFT(B302,SEARCH("_Rev",B302)-1),B302)</f>
        <v/>
      </c>
      <c r="N302" s="20">
        <f>IF(B302="","",IF(ISNUMBER(C302),IF(COUNTIFS($M$3:$M$1026,M302,$C$3:$C$1026,"&gt;"&amp;C302)=0,"CURRENT","SUPERSEDED"),"CURRENT"))</f>
        <v/>
      </c>
      <c r="O302" s="19" t="n"/>
    </row>
    <row r="303">
      <c r="A303" s="19" t="n"/>
      <c r="B303" s="20" t="inlineStr">
        <is>
          <t>4503-XH-DL-8631-8631-5076-CWR-01_Rev0</t>
        </is>
      </c>
      <c r="C303" s="21" t="n">
        <v>0</v>
      </c>
      <c r="D303" s="21" t="n">
        <v>46237</v>
      </c>
      <c r="E303" s="20" t="inlineStr">
        <is>
          <t>IFC-ISSUED FOR CONSTRUCTION</t>
        </is>
      </c>
      <c r="F303" s="21" t="n">
        <v>8631</v>
      </c>
      <c r="G303" s="20" t="inlineStr">
        <is>
          <t>PIPE B36.10/36.19 A671 CC60 CL.22 S2 BE BE</t>
        </is>
      </c>
      <c r="H303" s="20" t="inlineStr">
        <is>
          <t>A671</t>
        </is>
      </c>
      <c r="I303" s="22" t="n">
        <v>28</v>
      </c>
      <c r="J303" s="21" t="inlineStr">
        <is>
          <t>XS</t>
        </is>
      </c>
      <c r="K303" s="20" t="inlineStr">
        <is>
          <t>I65622127</t>
        </is>
      </c>
      <c r="L303" s="22" t="n">
        <v>3.8</v>
      </c>
      <c r="M303" s="20">
        <f>IFERROR(LEFT(B303,SEARCH("_Rev",B303)-1),B303)</f>
        <v/>
      </c>
      <c r="N303" s="20">
        <f>IF(B303="","",IF(ISNUMBER(C303),IF(COUNTIFS($M$3:$M$1026,M303,$C$3:$C$1026,"&gt;"&amp;C303)=0,"CURRENT","SUPERSEDED"),"CURRENT"))</f>
        <v/>
      </c>
      <c r="O303" s="19" t="n"/>
    </row>
    <row r="304">
      <c r="A304" s="19" t="n"/>
      <c r="B304" s="20" t="inlineStr">
        <is>
          <t>4503-XH-DL-8631-8631-5077-CWR-01_Rev0</t>
        </is>
      </c>
      <c r="C304" s="21" t="n">
        <v>0</v>
      </c>
      <c r="D304" s="21" t="n">
        <v>46237</v>
      </c>
      <c r="E304" s="20" t="inlineStr">
        <is>
          <t>IFC-ISSUED FOR CONSTRUCTION</t>
        </is>
      </c>
      <c r="F304" s="21" t="n">
        <v>8631</v>
      </c>
      <c r="G304" s="20" t="inlineStr">
        <is>
          <t>PIPE B36.10/36.19 A671 CC60 CL.22 S2 BE BE</t>
        </is>
      </c>
      <c r="H304" s="20" t="inlineStr">
        <is>
          <t>A671</t>
        </is>
      </c>
      <c r="I304" s="22" t="n">
        <v>28</v>
      </c>
      <c r="J304" s="21" t="inlineStr">
        <is>
          <t>XS</t>
        </is>
      </c>
      <c r="K304" s="20" t="inlineStr">
        <is>
          <t>I65622127</t>
        </is>
      </c>
      <c r="L304" s="22" t="n">
        <v>3.6</v>
      </c>
      <c r="M304" s="20">
        <f>IFERROR(LEFT(B304,SEARCH("_Rev",B304)-1),B304)</f>
        <v/>
      </c>
      <c r="N304" s="20">
        <f>IF(B304="","",IF(ISNUMBER(C304),IF(COUNTIFS($M$3:$M$1026,M304,$C$3:$C$1026,"&gt;"&amp;C304)=0,"CURRENT","SUPERSEDED"),"CURRENT"))</f>
        <v/>
      </c>
      <c r="O304" s="19" t="n"/>
    </row>
    <row r="305">
      <c r="A305" s="19" t="n"/>
      <c r="B305" s="20" t="inlineStr">
        <is>
          <t>4503-XH-DL-8631-8631-5080-CWR-01_Rev0</t>
        </is>
      </c>
      <c r="C305" s="21" t="n">
        <v>0</v>
      </c>
      <c r="D305" s="21" t="n">
        <v>46237</v>
      </c>
      <c r="E305" s="20" t="inlineStr">
        <is>
          <t>IFC-ISSUED FOR CONSTRUCTION</t>
        </is>
      </c>
      <c r="F305" s="21" t="n">
        <v>8631</v>
      </c>
      <c r="G305" s="20" t="inlineStr">
        <is>
          <t>PIPE B36.10/36.19 A671 CC60 CL.22 S2 BE BE</t>
        </is>
      </c>
      <c r="H305" s="20" t="inlineStr">
        <is>
          <t>A671</t>
        </is>
      </c>
      <c r="I305" s="22" t="n">
        <v>32</v>
      </c>
      <c r="J305" s="21" t="inlineStr">
        <is>
          <t>XS</t>
        </is>
      </c>
      <c r="K305" s="20" t="inlineStr">
        <is>
          <t>I65622125</t>
        </is>
      </c>
      <c r="L305" s="22" t="n">
        <v>17.9</v>
      </c>
      <c r="M305" s="20">
        <f>IFERROR(LEFT(B305,SEARCH("_Rev",B305)-1),B305)</f>
        <v/>
      </c>
      <c r="N305" s="20">
        <f>IF(B305="","",IF(ISNUMBER(C305),IF(COUNTIFS($M$3:$M$1026,M305,$C$3:$C$1026,"&gt;"&amp;C305)=0,"CURRENT","SUPERSEDED"),"CURRENT"))</f>
        <v/>
      </c>
      <c r="O305" s="19" t="n"/>
    </row>
    <row r="306">
      <c r="A306" s="19" t="n"/>
      <c r="B306" s="20" t="inlineStr">
        <is>
          <t>4503-XH-DL-8631-8631-5080-CWR-03_Rev0</t>
        </is>
      </c>
      <c r="C306" s="21" t="n">
        <v>0</v>
      </c>
      <c r="D306" s="21" t="n">
        <v>46237</v>
      </c>
      <c r="E306" s="20" t="inlineStr">
        <is>
          <t>IFC-ISSUED FOR CONSTRUCTION</t>
        </is>
      </c>
      <c r="F306" s="21" t="n">
        <v>8631</v>
      </c>
      <c r="G306" s="20" t="inlineStr">
        <is>
          <t>PIPE B36.10/36.19 A333 6-SMLS BE BE</t>
        </is>
      </c>
      <c r="H306" s="20" t="inlineStr">
        <is>
          <t>A333</t>
        </is>
      </c>
      <c r="I306" s="22" t="n">
        <v>2</v>
      </c>
      <c r="J306" s="21" t="inlineStr">
        <is>
          <t>XS</t>
        </is>
      </c>
      <c r="K306" s="20" t="inlineStr">
        <is>
          <t>I64108762</t>
        </is>
      </c>
      <c r="L306" s="22" t="n">
        <v>0.6</v>
      </c>
      <c r="M306" s="20">
        <f>IFERROR(LEFT(B306,SEARCH("_Rev",B306)-1),B306)</f>
        <v/>
      </c>
      <c r="N306" s="20">
        <f>IF(B306="","",IF(ISNUMBER(C306),IF(COUNTIFS($M$3:$M$1026,M306,$C$3:$C$1026,"&gt;"&amp;C306)=0,"CURRENT","SUPERSEDED"),"CURRENT"))</f>
        <v/>
      </c>
      <c r="O306" s="19" t="n"/>
    </row>
    <row r="307">
      <c r="A307" s="19" t="n"/>
      <c r="B307" s="20" t="inlineStr">
        <is>
          <t>4503-XH-DL-8631-8631-5080-CWR-04_Rev0</t>
        </is>
      </c>
      <c r="C307" s="21" t="n">
        <v>0</v>
      </c>
      <c r="D307" s="21" t="n">
        <v>46237</v>
      </c>
      <c r="E307" s="20" t="inlineStr">
        <is>
          <t>IFC-ISSUED FOR CONSTRUCTION</t>
        </is>
      </c>
      <c r="F307" s="21" t="n">
        <v>8631</v>
      </c>
      <c r="G307" s="20" t="inlineStr">
        <is>
          <t>PIPE B36.10/36.19 A333 6-SMLS BE BE</t>
        </is>
      </c>
      <c r="H307" s="20" t="inlineStr">
        <is>
          <t>A333</t>
        </is>
      </c>
      <c r="I307" s="22" t="n">
        <v>2</v>
      </c>
      <c r="J307" s="21" t="inlineStr">
        <is>
          <t>XS</t>
        </is>
      </c>
      <c r="K307" s="20" t="inlineStr">
        <is>
          <t>I64108762</t>
        </is>
      </c>
      <c r="L307" s="22" t="n">
        <v>0.1</v>
      </c>
      <c r="M307" s="20">
        <f>IFERROR(LEFT(B307,SEARCH("_Rev",B307)-1),B307)</f>
        <v/>
      </c>
      <c r="N307" s="20">
        <f>IF(B307="","",IF(ISNUMBER(C307),IF(COUNTIFS($M$3:$M$1026,M307,$C$3:$C$1026,"&gt;"&amp;C307)=0,"CURRENT","SUPERSEDED"),"CURRENT"))</f>
        <v/>
      </c>
      <c r="O307" s="19" t="n"/>
    </row>
    <row r="308">
      <c r="A308" s="19" t="n"/>
      <c r="B308" s="20" t="inlineStr">
        <is>
          <t>4503-XH-DL-8631-8631-5080-CWR-05_Rev0</t>
        </is>
      </c>
      <c r="C308" s="21" t="n">
        <v>0</v>
      </c>
      <c r="D308" s="21" t="n">
        <v>46237</v>
      </c>
      <c r="E308" s="20" t="inlineStr">
        <is>
          <t>IFC-ISSUED FOR CONSTRUCTION</t>
        </is>
      </c>
      <c r="F308" s="21" t="n">
        <v>8631</v>
      </c>
      <c r="G308" s="20" t="inlineStr">
        <is>
          <t>PIPE B36.10/36.19 A333 6-SMLS BE BE</t>
        </is>
      </c>
      <c r="H308" s="20" t="inlineStr">
        <is>
          <t>A333</t>
        </is>
      </c>
      <c r="I308" s="22" t="n">
        <v>10</v>
      </c>
      <c r="J308" s="21" t="inlineStr">
        <is>
          <t>STD</t>
        </is>
      </c>
      <c r="K308" s="20" t="inlineStr">
        <is>
          <t>I64108754</t>
        </is>
      </c>
      <c r="L308" s="22" t="n">
        <v>0.2</v>
      </c>
      <c r="M308" s="20">
        <f>IFERROR(LEFT(B308,SEARCH("_Rev",B308)-1),B308)</f>
        <v/>
      </c>
      <c r="N308" s="20">
        <f>IF(B308="","",IF(ISNUMBER(C308),IF(COUNTIFS($M$3:$M$1026,M308,$C$3:$C$1026,"&gt;"&amp;C308)=0,"CURRENT","SUPERSEDED"),"CURRENT"))</f>
        <v/>
      </c>
      <c r="O308" s="19" t="n"/>
    </row>
    <row r="309">
      <c r="A309" s="19" t="n"/>
      <c r="B309" s="20" t="inlineStr">
        <is>
          <t>4503-XH-DL-8631-8631-5082-CWR-01_Rev0</t>
        </is>
      </c>
      <c r="C309" s="21" t="n">
        <v>0</v>
      </c>
      <c r="D309" s="21" t="n">
        <v>46237</v>
      </c>
      <c r="E309" s="20" t="inlineStr">
        <is>
          <t>IFC-ISSUED FOR CONSTRUCTION</t>
        </is>
      </c>
      <c r="F309" s="21" t="n">
        <v>8631</v>
      </c>
      <c r="G309" s="20" t="inlineStr">
        <is>
          <t>PIPE B36.10/36.19 A671 CC60 CL.22 S2 BE BE</t>
        </is>
      </c>
      <c r="H309" s="20" t="inlineStr">
        <is>
          <t>A671</t>
        </is>
      </c>
      <c r="I309" s="22" t="n">
        <v>32</v>
      </c>
      <c r="J309" s="21" t="inlineStr">
        <is>
          <t>XS</t>
        </is>
      </c>
      <c r="K309" s="20" t="inlineStr">
        <is>
          <t>I65622125</t>
        </is>
      </c>
      <c r="L309" s="22" t="n">
        <v>17.9</v>
      </c>
      <c r="M309" s="20">
        <f>IFERROR(LEFT(B309,SEARCH("_Rev",B309)-1),B309)</f>
        <v/>
      </c>
      <c r="N309" s="20">
        <f>IF(B309="","",IF(ISNUMBER(C309),IF(COUNTIFS($M$3:$M$1026,M309,$C$3:$C$1026,"&gt;"&amp;C309)=0,"CURRENT","SUPERSEDED"),"CURRENT"))</f>
        <v/>
      </c>
      <c r="O309" s="19" t="n"/>
    </row>
    <row r="310">
      <c r="A310" s="19" t="n"/>
      <c r="B310" s="20" t="inlineStr">
        <is>
          <t>4503-XH-DL-8631-8631-5082-CWR-03_Rev0</t>
        </is>
      </c>
      <c r="C310" s="21" t="n">
        <v>0</v>
      </c>
      <c r="D310" s="21" t="n">
        <v>46237</v>
      </c>
      <c r="E310" s="20" t="inlineStr">
        <is>
          <t>IFC-ISSUED FOR CONSTRUCTION</t>
        </is>
      </c>
      <c r="F310" s="21" t="n">
        <v>8631</v>
      </c>
      <c r="G310" s="20" t="inlineStr">
        <is>
          <t>PIPE B36.10/36.19 A333 6-SMLS BE BE</t>
        </is>
      </c>
      <c r="H310" s="20" t="inlineStr">
        <is>
          <t>A333</t>
        </is>
      </c>
      <c r="I310" s="22" t="n">
        <v>2</v>
      </c>
      <c r="J310" s="21" t="inlineStr">
        <is>
          <t>XS</t>
        </is>
      </c>
      <c r="K310" s="20" t="inlineStr">
        <is>
          <t>I64108762</t>
        </is>
      </c>
      <c r="L310" s="22" t="n">
        <v>0.6</v>
      </c>
      <c r="M310" s="20">
        <f>IFERROR(LEFT(B310,SEARCH("_Rev",B310)-1),B310)</f>
        <v/>
      </c>
      <c r="N310" s="20">
        <f>IF(B310="","",IF(ISNUMBER(C310),IF(COUNTIFS($M$3:$M$1026,M310,$C$3:$C$1026,"&gt;"&amp;C310)=0,"CURRENT","SUPERSEDED"),"CURRENT"))</f>
        <v/>
      </c>
      <c r="O310" s="19" t="n"/>
    </row>
    <row r="311">
      <c r="A311" s="19" t="n"/>
      <c r="B311" s="20" t="inlineStr">
        <is>
          <t>4503-XH-DL-8631-8631-5082-CWR-04_Rev0</t>
        </is>
      </c>
      <c r="C311" s="21" t="n">
        <v>0</v>
      </c>
      <c r="D311" s="21" t="n">
        <v>46237</v>
      </c>
      <c r="E311" s="20" t="inlineStr">
        <is>
          <t>IFC-ISSUED FOR CONSTRUCTION</t>
        </is>
      </c>
      <c r="F311" s="21" t="n">
        <v>8631</v>
      </c>
      <c r="G311" s="20" t="inlineStr">
        <is>
          <t>PIPE B36.10/36.19 A333 6-SMLS BE BE</t>
        </is>
      </c>
      <c r="H311" s="20" t="inlineStr">
        <is>
          <t>A333</t>
        </is>
      </c>
      <c r="I311" s="22" t="n">
        <v>2</v>
      </c>
      <c r="J311" s="21" t="inlineStr">
        <is>
          <t>XS</t>
        </is>
      </c>
      <c r="K311" s="20" t="inlineStr">
        <is>
          <t>I64108762</t>
        </is>
      </c>
      <c r="L311" s="22" t="n">
        <v>0.1</v>
      </c>
      <c r="M311" s="20">
        <f>IFERROR(LEFT(B311,SEARCH("_Rev",B311)-1),B311)</f>
        <v/>
      </c>
      <c r="N311" s="20">
        <f>IF(B311="","",IF(ISNUMBER(C311),IF(COUNTIFS($M$3:$M$1026,M311,$C$3:$C$1026,"&gt;"&amp;C311)=0,"CURRENT","SUPERSEDED"),"CURRENT"))</f>
        <v/>
      </c>
      <c r="O311" s="19" t="n"/>
    </row>
    <row r="312">
      <c r="A312" s="19" t="n"/>
      <c r="B312" s="20" t="inlineStr">
        <is>
          <t>4503-XH-DL-8631-8631-5082-CWR-05_Rev0</t>
        </is>
      </c>
      <c r="C312" s="21" t="n">
        <v>0</v>
      </c>
      <c r="D312" s="21" t="n">
        <v>46237</v>
      </c>
      <c r="E312" s="20" t="inlineStr">
        <is>
          <t>IFC-ISSUED FOR CONSTRUCTION</t>
        </is>
      </c>
      <c r="F312" s="21" t="n">
        <v>8631</v>
      </c>
      <c r="G312" s="20" t="inlineStr">
        <is>
          <t>PIPE B36.10/36.19 A333 6-SMLS BE BE</t>
        </is>
      </c>
      <c r="H312" s="20" t="inlineStr">
        <is>
          <t>A333</t>
        </is>
      </c>
      <c r="I312" s="22" t="n">
        <v>10</v>
      </c>
      <c r="J312" s="21" t="inlineStr">
        <is>
          <t>STD</t>
        </is>
      </c>
      <c r="K312" s="20" t="inlineStr">
        <is>
          <t>I64108754</t>
        </is>
      </c>
      <c r="L312" s="22" t="n">
        <v>0.2</v>
      </c>
      <c r="M312" s="20">
        <f>IFERROR(LEFT(B312,SEARCH("_Rev",B312)-1),B312)</f>
        <v/>
      </c>
      <c r="N312" s="20">
        <f>IF(B312="","",IF(ISNUMBER(C312),IF(COUNTIFS($M$3:$M$1026,M312,$C$3:$C$1026,"&gt;"&amp;C312)=0,"CURRENT","SUPERSEDED"),"CURRENT"))</f>
        <v/>
      </c>
      <c r="O312" s="19" t="n"/>
    </row>
    <row r="313">
      <c r="A313" s="19" t="n"/>
      <c r="B313" s="20" t="inlineStr">
        <is>
          <t>4503-XH-DL-8631-8631-5083-CWR-01_Rev0</t>
        </is>
      </c>
      <c r="C313" s="21" t="n">
        <v>0</v>
      </c>
      <c r="D313" s="21" t="n">
        <v>46237</v>
      </c>
      <c r="E313" s="20" t="inlineStr">
        <is>
          <t>IFC-ISSUED FOR CONSTRUCTION</t>
        </is>
      </c>
      <c r="F313" s="21" t="n">
        <v>8631</v>
      </c>
      <c r="G313" s="20" t="inlineStr">
        <is>
          <t>PIPE B36.10/36.19 A333 6-SMLS BE BE</t>
        </is>
      </c>
      <c r="H313" s="20" t="inlineStr">
        <is>
          <t>A333</t>
        </is>
      </c>
      <c r="I313" s="22" t="n">
        <v>6</v>
      </c>
      <c r="J313" s="21" t="inlineStr">
        <is>
          <t>STD</t>
        </is>
      </c>
      <c r="K313" s="20" t="inlineStr">
        <is>
          <t>I63649156</t>
        </is>
      </c>
      <c r="L313" s="22" t="n">
        <v>9.800000000000001</v>
      </c>
      <c r="M313" s="20">
        <f>IFERROR(LEFT(B313,SEARCH("_Rev",B313)-1),B313)</f>
        <v/>
      </c>
      <c r="N313" s="20">
        <f>IF(B313="","",IF(ISNUMBER(C313),IF(COUNTIFS($M$3:$M$1026,M313,$C$3:$C$1026,"&gt;"&amp;C313)=0,"CURRENT","SUPERSEDED"),"CURRENT"))</f>
        <v/>
      </c>
      <c r="O313" s="19" t="n"/>
    </row>
    <row r="314">
      <c r="A314" s="19" t="n"/>
      <c r="B314" s="20" t="inlineStr">
        <is>
          <t>4503-XH-DL-8631-8631-5083-CWR-01_Rev0</t>
        </is>
      </c>
      <c r="C314" s="21" t="n">
        <v>0</v>
      </c>
      <c r="D314" s="21" t="n">
        <v>46237</v>
      </c>
      <c r="E314" s="20" t="inlineStr">
        <is>
          <t>IFC-ISSUED FOR CONSTRUCTION</t>
        </is>
      </c>
      <c r="F314" s="21" t="n">
        <v>8631</v>
      </c>
      <c r="G314" s="20" t="inlineStr">
        <is>
          <t>PIPE B36.10/36.19 A333 6-SMLS BE BE</t>
        </is>
      </c>
      <c r="H314" s="20" t="inlineStr">
        <is>
          <t>A333</t>
        </is>
      </c>
      <c r="I314" s="22" t="n">
        <v>2</v>
      </c>
      <c r="J314" s="21" t="inlineStr">
        <is>
          <t>XS</t>
        </is>
      </c>
      <c r="K314" s="20" t="inlineStr">
        <is>
          <t>I64108762</t>
        </is>
      </c>
      <c r="L314" s="22" t="n">
        <v>1.1</v>
      </c>
      <c r="M314" s="20">
        <f>IFERROR(LEFT(B314,SEARCH("_Rev",B314)-1),B314)</f>
        <v/>
      </c>
      <c r="N314" s="20">
        <f>IF(B314="","",IF(ISNUMBER(C314),IF(COUNTIFS($M$3:$M$1026,M314,$C$3:$C$1026,"&gt;"&amp;C314)=0,"CURRENT","SUPERSEDED"),"CURRENT"))</f>
        <v/>
      </c>
      <c r="O314" s="19" t="n"/>
    </row>
    <row r="315">
      <c r="A315" s="19" t="n"/>
      <c r="B315" s="20" t="inlineStr">
        <is>
          <t>4503-XH-DL-8631-8631-5083-CWR-02_Rev0</t>
        </is>
      </c>
      <c r="C315" s="21" t="n">
        <v>0</v>
      </c>
      <c r="D315" s="21" t="n">
        <v>46237</v>
      </c>
      <c r="E315" s="20" t="inlineStr">
        <is>
          <t>IFC-ISSUED FOR CONSTRUCTION</t>
        </is>
      </c>
      <c r="F315" s="21" t="n">
        <v>8631</v>
      </c>
      <c r="G315" s="20" t="inlineStr">
        <is>
          <t>PIPE B36.10/36.19 A333 6-SMLS BE BE</t>
        </is>
      </c>
      <c r="H315" s="20" t="inlineStr">
        <is>
          <t>A333</t>
        </is>
      </c>
      <c r="I315" s="22" t="n">
        <v>2</v>
      </c>
      <c r="J315" s="21" t="inlineStr">
        <is>
          <t>XS</t>
        </is>
      </c>
      <c r="K315" s="20" t="inlineStr">
        <is>
          <t>I64108762</t>
        </is>
      </c>
      <c r="L315" s="22" t="n">
        <v>2.5</v>
      </c>
      <c r="M315" s="20">
        <f>IFERROR(LEFT(B315,SEARCH("_Rev",B315)-1),B315)</f>
        <v/>
      </c>
      <c r="N315" s="20">
        <f>IF(B315="","",IF(ISNUMBER(C315),IF(COUNTIFS($M$3:$M$1026,M315,$C$3:$C$1026,"&gt;"&amp;C315)=0,"CURRENT","SUPERSEDED"),"CURRENT"))</f>
        <v/>
      </c>
      <c r="O315" s="19" t="n"/>
    </row>
    <row r="316">
      <c r="A316" s="19" t="n"/>
      <c r="B316" s="20" t="inlineStr">
        <is>
          <t>4503-XH-DL-8631-8631-5084-CWR-01_Rev0</t>
        </is>
      </c>
      <c r="C316" s="21" t="n">
        <v>0</v>
      </c>
      <c r="D316" s="21" t="n">
        <v>46237</v>
      </c>
      <c r="E316" s="20" t="inlineStr">
        <is>
          <t>IFC-ISSUED FOR CONSTRUCTION</t>
        </is>
      </c>
      <c r="F316" s="21" t="n">
        <v>8631</v>
      </c>
      <c r="G316" s="20" t="inlineStr">
        <is>
          <t>PIPE B36.10/36.19 A671 CC60 CL.22 S2 BE BE</t>
        </is>
      </c>
      <c r="H316" s="20" t="inlineStr">
        <is>
          <t>A671</t>
        </is>
      </c>
      <c r="I316" s="22" t="n">
        <v>28</v>
      </c>
      <c r="J316" s="21" t="inlineStr">
        <is>
          <t>XS</t>
        </is>
      </c>
      <c r="K316" s="20" t="inlineStr">
        <is>
          <t>I65622127</t>
        </is>
      </c>
      <c r="L316" s="22" t="n">
        <v>3.6</v>
      </c>
      <c r="M316" s="20">
        <f>IFERROR(LEFT(B316,SEARCH("_Rev",B316)-1),B316)</f>
        <v/>
      </c>
      <c r="N316" s="20">
        <f>IF(B316="","",IF(ISNUMBER(C316),IF(COUNTIFS($M$3:$M$1026,M316,$C$3:$C$1026,"&gt;"&amp;C316)=0,"CURRENT","SUPERSEDED"),"CURRENT"))</f>
        <v/>
      </c>
      <c r="O316" s="19" t="n"/>
    </row>
    <row r="317">
      <c r="A317" s="19" t="n"/>
      <c r="B317" s="20" t="inlineStr">
        <is>
          <t>4503-XH-DL-8631-8631-5085-CWR-01_Rev0</t>
        </is>
      </c>
      <c r="C317" s="21" t="n">
        <v>0</v>
      </c>
      <c r="D317" s="21" t="n">
        <v>46237</v>
      </c>
      <c r="E317" s="20" t="inlineStr">
        <is>
          <t>IFC-ISSUED FOR CONSTRUCTION</t>
        </is>
      </c>
      <c r="F317" s="21" t="n">
        <v>8631</v>
      </c>
      <c r="G317" s="20" t="inlineStr">
        <is>
          <t>PIPE B36.10/36.19 A671 CC60 CL.22 S2 BE BE</t>
        </is>
      </c>
      <c r="H317" s="20" t="inlineStr">
        <is>
          <t>A671</t>
        </is>
      </c>
      <c r="I317" s="22" t="n">
        <v>28</v>
      </c>
      <c r="J317" s="21" t="inlineStr">
        <is>
          <t>XS</t>
        </is>
      </c>
      <c r="K317" s="20" t="inlineStr">
        <is>
          <t>I65622127</t>
        </is>
      </c>
      <c r="L317" s="22" t="n">
        <v>3.6</v>
      </c>
      <c r="M317" s="20">
        <f>IFERROR(LEFT(B317,SEARCH("_Rev",B317)-1),B317)</f>
        <v/>
      </c>
      <c r="N317" s="20">
        <f>IF(B317="","",IF(ISNUMBER(C317),IF(COUNTIFS($M$3:$M$1026,M317,$C$3:$C$1026,"&gt;"&amp;C317)=0,"CURRENT","SUPERSEDED"),"CURRENT"))</f>
        <v/>
      </c>
      <c r="O317" s="19" t="n"/>
    </row>
    <row r="318">
      <c r="A318" s="19" t="n"/>
      <c r="B318" s="20" t="inlineStr">
        <is>
          <t>4503-XH-DL-8631-8631-5088-CWR-01_Rev0</t>
        </is>
      </c>
      <c r="C318" s="21" t="n">
        <v>0</v>
      </c>
      <c r="D318" s="21" t="n">
        <v>46237</v>
      </c>
      <c r="E318" s="20" t="inlineStr">
        <is>
          <t>IFC-ISSUED FOR CONSTRUCTION</t>
        </is>
      </c>
      <c r="F318" s="21" t="n">
        <v>8631</v>
      </c>
      <c r="G318" s="20" t="inlineStr">
        <is>
          <t>PIPE B36.10/36.19 A333 6-SMLS BE BE</t>
        </is>
      </c>
      <c r="H318" s="20" t="inlineStr">
        <is>
          <t>A333</t>
        </is>
      </c>
      <c r="I318" s="22" t="n">
        <v>6</v>
      </c>
      <c r="J318" s="21" t="inlineStr">
        <is>
          <t>STD</t>
        </is>
      </c>
      <c r="K318" s="20" t="inlineStr">
        <is>
          <t>I63649156</t>
        </is>
      </c>
      <c r="L318" s="22" t="n">
        <v>9.800000000000001</v>
      </c>
      <c r="M318" s="20">
        <f>IFERROR(LEFT(B318,SEARCH("_Rev",B318)-1),B318)</f>
        <v/>
      </c>
      <c r="N318" s="20">
        <f>IF(B318="","",IF(ISNUMBER(C318),IF(COUNTIFS($M$3:$M$1026,M318,$C$3:$C$1026,"&gt;"&amp;C318)=0,"CURRENT","SUPERSEDED"),"CURRENT"))</f>
        <v/>
      </c>
      <c r="O318" s="19" t="n"/>
    </row>
    <row r="319">
      <c r="A319" s="19" t="n"/>
      <c r="B319" s="20" t="inlineStr">
        <is>
          <t>4503-XH-DL-8631-8631-5088-CWR-01_Rev0</t>
        </is>
      </c>
      <c r="C319" s="21" t="n">
        <v>0</v>
      </c>
      <c r="D319" s="21" t="n">
        <v>46237</v>
      </c>
      <c r="E319" s="20" t="inlineStr">
        <is>
          <t>IFC-ISSUED FOR CONSTRUCTION</t>
        </is>
      </c>
      <c r="F319" s="21" t="n">
        <v>8631</v>
      </c>
      <c r="G319" s="20" t="inlineStr">
        <is>
          <t>PIPE B36.10/36.19 A333 6-SMLS BE BE</t>
        </is>
      </c>
      <c r="H319" s="20" t="inlineStr">
        <is>
          <t>A333</t>
        </is>
      </c>
      <c r="I319" s="22" t="n">
        <v>2</v>
      </c>
      <c r="J319" s="21" t="inlineStr">
        <is>
          <t>XS</t>
        </is>
      </c>
      <c r="K319" s="20" t="inlineStr">
        <is>
          <t>I64108762</t>
        </is>
      </c>
      <c r="L319" s="22" t="n">
        <v>1.1</v>
      </c>
      <c r="M319" s="20">
        <f>IFERROR(LEFT(B319,SEARCH("_Rev",B319)-1),B319)</f>
        <v/>
      </c>
      <c r="N319" s="20">
        <f>IF(B319="","",IF(ISNUMBER(C319),IF(COUNTIFS($M$3:$M$1026,M319,$C$3:$C$1026,"&gt;"&amp;C319)=0,"CURRENT","SUPERSEDED"),"CURRENT"))</f>
        <v/>
      </c>
      <c r="O319" s="19" t="n"/>
    </row>
    <row r="320">
      <c r="A320" s="19" t="n"/>
      <c r="B320" s="20" t="inlineStr">
        <is>
          <t>4503-XH-DL-8631-8631-5088-CWR-02_Rev0</t>
        </is>
      </c>
      <c r="C320" s="21" t="n">
        <v>0</v>
      </c>
      <c r="D320" s="21" t="n">
        <v>46237</v>
      </c>
      <c r="E320" s="20" t="inlineStr">
        <is>
          <t>IFC-ISSUED FOR CONSTRUCTION</t>
        </is>
      </c>
      <c r="F320" s="21" t="n">
        <v>8631</v>
      </c>
      <c r="G320" s="20" t="inlineStr">
        <is>
          <t>PIPE B36.10/36.19 A333 6-SMLS BE BE</t>
        </is>
      </c>
      <c r="H320" s="20" t="inlineStr">
        <is>
          <t>A333</t>
        </is>
      </c>
      <c r="I320" s="22" t="n">
        <v>2</v>
      </c>
      <c r="J320" s="21" t="inlineStr">
        <is>
          <t>XS</t>
        </is>
      </c>
      <c r="K320" s="20" t="inlineStr">
        <is>
          <t>I64108762</t>
        </is>
      </c>
      <c r="L320" s="22" t="n">
        <v>2.5</v>
      </c>
      <c r="M320" s="20">
        <f>IFERROR(LEFT(B320,SEARCH("_Rev",B320)-1),B320)</f>
        <v/>
      </c>
      <c r="N320" s="20">
        <f>IF(B320="","",IF(ISNUMBER(C320),IF(COUNTIFS($M$3:$M$1026,M320,$C$3:$C$1026,"&gt;"&amp;C320)=0,"CURRENT","SUPERSEDED"),"CURRENT"))</f>
        <v/>
      </c>
      <c r="O320" s="19" t="n"/>
    </row>
    <row r="321">
      <c r="A321" s="19" t="n"/>
      <c r="B321" s="20" t="inlineStr">
        <is>
          <t>4503-XH-DL-8631-8631-5090-CWR-01_Rev0</t>
        </is>
      </c>
      <c r="C321" s="21" t="n">
        <v>0</v>
      </c>
      <c r="D321" s="21" t="n">
        <v>46237</v>
      </c>
      <c r="E321" s="20" t="inlineStr">
        <is>
          <t>IFC-ISSUED FOR CONSTRUCTION</t>
        </is>
      </c>
      <c r="F321" s="21" t="n">
        <v>8631</v>
      </c>
      <c r="G321" s="20" t="inlineStr">
        <is>
          <t>PIPE B36.10/36.19 A671 CC60 CL.22 S2 BE BE</t>
        </is>
      </c>
      <c r="H321" s="20" t="inlineStr">
        <is>
          <t>A671</t>
        </is>
      </c>
      <c r="I321" s="22" t="n">
        <v>32</v>
      </c>
      <c r="J321" s="21" t="inlineStr">
        <is>
          <t>XS</t>
        </is>
      </c>
      <c r="K321" s="20" t="inlineStr">
        <is>
          <t>I65622125</t>
        </is>
      </c>
      <c r="L321" s="22" t="n">
        <v>2.2</v>
      </c>
      <c r="M321" s="20">
        <f>IFERROR(LEFT(B321,SEARCH("_Rev",B321)-1),B321)</f>
        <v/>
      </c>
      <c r="N321" s="20">
        <f>IF(B321="","",IF(ISNUMBER(C321),IF(COUNTIFS($M$3:$M$1026,M321,$C$3:$C$1026,"&gt;"&amp;C321)=0,"CURRENT","SUPERSEDED"),"CURRENT"))</f>
        <v/>
      </c>
      <c r="O321" s="19" t="n"/>
    </row>
    <row r="322">
      <c r="A322" s="19" t="n"/>
      <c r="B322" s="20" t="inlineStr">
        <is>
          <t>4503-XH-DL-8631-8631-5091-CWR-01_Rev0</t>
        </is>
      </c>
      <c r="C322" s="21" t="n">
        <v>0</v>
      </c>
      <c r="D322" s="21" t="n">
        <v>46237</v>
      </c>
      <c r="E322" s="20" t="inlineStr">
        <is>
          <t>IFC-ISSUED FOR CONSTRUCTION</t>
        </is>
      </c>
      <c r="F322" s="21" t="n">
        <v>8631</v>
      </c>
      <c r="G322" s="20" t="inlineStr">
        <is>
          <t>PIPE B36.10/36.19 A671 CC60 CL.22 S2 BE BE</t>
        </is>
      </c>
      <c r="H322" s="20" t="inlineStr">
        <is>
          <t>A671</t>
        </is>
      </c>
      <c r="I322" s="22" t="n">
        <v>32</v>
      </c>
      <c r="J322" s="21" t="inlineStr">
        <is>
          <t>XS</t>
        </is>
      </c>
      <c r="K322" s="20" t="inlineStr">
        <is>
          <t>I65622125</t>
        </is>
      </c>
      <c r="L322" s="22" t="n">
        <v>15.6</v>
      </c>
      <c r="M322" s="20">
        <f>IFERROR(LEFT(B322,SEARCH("_Rev",B322)-1),B322)</f>
        <v/>
      </c>
      <c r="N322" s="20">
        <f>IF(B322="","",IF(ISNUMBER(C322),IF(COUNTIFS($M$3:$M$1026,M322,$C$3:$C$1026,"&gt;"&amp;C322)=0,"CURRENT","SUPERSEDED"),"CURRENT"))</f>
        <v/>
      </c>
      <c r="O322" s="19" t="n"/>
    </row>
    <row r="323">
      <c r="A323" s="19" t="n"/>
      <c r="B323" s="20" t="inlineStr">
        <is>
          <t>4503-XH-DL-8631-8631-5091-CWR-03_Rev0</t>
        </is>
      </c>
      <c r="C323" s="21" t="n">
        <v>0</v>
      </c>
      <c r="D323" s="21" t="n">
        <v>46237</v>
      </c>
      <c r="E323" s="20" t="inlineStr">
        <is>
          <t>IFC-ISSUED FOR CONSTRUCTION</t>
        </is>
      </c>
      <c r="F323" s="21" t="n">
        <v>8631</v>
      </c>
      <c r="G323" s="20" t="inlineStr">
        <is>
          <t>PIPE B36.10/36.19 A333 6-SMLS BE BE</t>
        </is>
      </c>
      <c r="H323" s="20" t="inlineStr">
        <is>
          <t>A333</t>
        </is>
      </c>
      <c r="I323" s="22" t="n">
        <v>2</v>
      </c>
      <c r="J323" s="21" t="inlineStr">
        <is>
          <t>XS</t>
        </is>
      </c>
      <c r="K323" s="20" t="inlineStr">
        <is>
          <t>I64108762</t>
        </is>
      </c>
      <c r="L323" s="22" t="n">
        <v>0.1</v>
      </c>
      <c r="M323" s="20">
        <f>IFERROR(LEFT(B323,SEARCH("_Rev",B323)-1),B323)</f>
        <v/>
      </c>
      <c r="N323" s="20">
        <f>IF(B323="","",IF(ISNUMBER(C323),IF(COUNTIFS($M$3:$M$1026,M323,$C$3:$C$1026,"&gt;"&amp;C323)=0,"CURRENT","SUPERSEDED"),"CURRENT"))</f>
        <v/>
      </c>
      <c r="O323" s="19" t="n"/>
    </row>
    <row r="324">
      <c r="A324" s="19" t="n"/>
      <c r="B324" s="20" t="inlineStr">
        <is>
          <t>4503-XH-DL-8631-8631-5091-CWR-04_Rev0</t>
        </is>
      </c>
      <c r="C324" s="21" t="n">
        <v>0</v>
      </c>
      <c r="D324" s="21" t="n">
        <v>46237</v>
      </c>
      <c r="E324" s="20" t="inlineStr">
        <is>
          <t>IFC-ISSUED FOR CONSTRUCTION</t>
        </is>
      </c>
      <c r="F324" s="21" t="n">
        <v>8631</v>
      </c>
      <c r="G324" s="20" t="inlineStr">
        <is>
          <t>PIPE B36.10/36.19 A671 CC60 CL.22 S2 BE BE</t>
        </is>
      </c>
      <c r="H324" s="20" t="inlineStr">
        <is>
          <t>A671</t>
        </is>
      </c>
      <c r="I324" s="22" t="n">
        <v>32</v>
      </c>
      <c r="J324" s="21" t="inlineStr">
        <is>
          <t>XS</t>
        </is>
      </c>
      <c r="K324" s="20" t="inlineStr">
        <is>
          <t>I65622125</t>
        </is>
      </c>
      <c r="L324" s="22" t="n">
        <v>2</v>
      </c>
      <c r="M324" s="20">
        <f>IFERROR(LEFT(B324,SEARCH("_Rev",B324)-1),B324)</f>
        <v/>
      </c>
      <c r="N324" s="20">
        <f>IF(B324="","",IF(ISNUMBER(C324),IF(COUNTIFS($M$3:$M$1026,M324,$C$3:$C$1026,"&gt;"&amp;C324)=0,"CURRENT","SUPERSEDED"),"CURRENT"))</f>
        <v/>
      </c>
      <c r="O324" s="19" t="n"/>
    </row>
    <row r="325">
      <c r="A325" s="19" t="n"/>
      <c r="B325" s="20" t="inlineStr">
        <is>
          <t>4503-XH-DL-8631-8631-5091-CWR-05_Rev0</t>
        </is>
      </c>
      <c r="C325" s="21" t="n">
        <v>0</v>
      </c>
      <c r="D325" s="21" t="n">
        <v>46237</v>
      </c>
      <c r="E325" s="20" t="inlineStr">
        <is>
          <t>IFC-ISSUED FOR CONSTRUCTION</t>
        </is>
      </c>
      <c r="F325" s="21" t="n">
        <v>8631</v>
      </c>
      <c r="G325" s="20" t="inlineStr">
        <is>
          <t>PIPE B36.10/36.19 A333 6-SMLS BE BE</t>
        </is>
      </c>
      <c r="H325" s="20" t="inlineStr">
        <is>
          <t>A333</t>
        </is>
      </c>
      <c r="I325" s="22" t="n">
        <v>2</v>
      </c>
      <c r="J325" s="21" t="inlineStr">
        <is>
          <t>XS</t>
        </is>
      </c>
      <c r="K325" s="20" t="inlineStr">
        <is>
          <t>I64108762</t>
        </is>
      </c>
      <c r="L325" s="22" t="n">
        <v>0.1</v>
      </c>
      <c r="M325" s="20">
        <f>IFERROR(LEFT(B325,SEARCH("_Rev",B325)-1),B325)</f>
        <v/>
      </c>
      <c r="N325" s="20">
        <f>IF(B325="","",IF(ISNUMBER(C325),IF(COUNTIFS($M$3:$M$1026,M325,$C$3:$C$1026,"&gt;"&amp;C325)=0,"CURRENT","SUPERSEDED"),"CURRENT"))</f>
        <v/>
      </c>
      <c r="O325" s="19" t="n"/>
    </row>
    <row r="326">
      <c r="A326" s="19" t="n"/>
      <c r="B326" s="20" t="inlineStr">
        <is>
          <t>4503-XH-DL-8631-8631-5091-CWR-06_Rev0</t>
        </is>
      </c>
      <c r="C326" s="21" t="n">
        <v>0</v>
      </c>
      <c r="D326" s="21" t="n">
        <v>46237</v>
      </c>
      <c r="E326" s="20" t="inlineStr">
        <is>
          <t>IFC-ISSUED FOR CONSTRUCTION</t>
        </is>
      </c>
      <c r="F326" s="21" t="n">
        <v>8631</v>
      </c>
      <c r="G326" s="20" t="inlineStr">
        <is>
          <t>PIPE B36.10/36.19 A333 6-SMLS BE BE</t>
        </is>
      </c>
      <c r="H326" s="20" t="inlineStr">
        <is>
          <t>A333</t>
        </is>
      </c>
      <c r="I326" s="22" t="n">
        <v>2</v>
      </c>
      <c r="J326" s="21" t="inlineStr">
        <is>
          <t>XS</t>
        </is>
      </c>
      <c r="K326" s="20" t="inlineStr">
        <is>
          <t>I64108762</t>
        </is>
      </c>
      <c r="L326" s="22" t="n">
        <v>0.6</v>
      </c>
      <c r="M326" s="20">
        <f>IFERROR(LEFT(B326,SEARCH("_Rev",B326)-1),B326)</f>
        <v/>
      </c>
      <c r="N326" s="20">
        <f>IF(B326="","",IF(ISNUMBER(C326),IF(COUNTIFS($M$3:$M$1026,M326,$C$3:$C$1026,"&gt;"&amp;C326)=0,"CURRENT","SUPERSEDED"),"CURRENT"))</f>
        <v/>
      </c>
      <c r="O326" s="19" t="n"/>
    </row>
    <row r="327">
      <c r="A327" s="19" t="n"/>
      <c r="B327" s="20" t="inlineStr">
        <is>
          <t>4503-XH-DL-8631-8631-5091-CWR-07_Rev0</t>
        </is>
      </c>
      <c r="C327" s="21" t="n">
        <v>0</v>
      </c>
      <c r="D327" s="21" t="n">
        <v>46237</v>
      </c>
      <c r="E327" s="20" t="inlineStr">
        <is>
          <t>IFC-ISSUED FOR CONSTRUCTION</t>
        </is>
      </c>
      <c r="F327" s="21" t="n">
        <v>8631</v>
      </c>
      <c r="G327" s="20" t="inlineStr">
        <is>
          <t>PIPE B36.10/36.19 A333 6-SMLS BE BE</t>
        </is>
      </c>
      <c r="H327" s="20" t="inlineStr">
        <is>
          <t>A333</t>
        </is>
      </c>
      <c r="I327" s="22" t="n">
        <v>10</v>
      </c>
      <c r="J327" s="21" t="inlineStr">
        <is>
          <t>STD</t>
        </is>
      </c>
      <c r="K327" s="20" t="inlineStr">
        <is>
          <t>I64108754</t>
        </is>
      </c>
      <c r="L327" s="22" t="n">
        <v>0.2</v>
      </c>
      <c r="M327" s="20">
        <f>IFERROR(LEFT(B327,SEARCH("_Rev",B327)-1),B327)</f>
        <v/>
      </c>
      <c r="N327" s="20">
        <f>IF(B327="","",IF(ISNUMBER(C327),IF(COUNTIFS($M$3:$M$1026,M327,$C$3:$C$1026,"&gt;"&amp;C327)=0,"CURRENT","SUPERSEDED"),"CURRENT"))</f>
        <v/>
      </c>
      <c r="O327" s="19" t="n"/>
    </row>
    <row r="328">
      <c r="A328" s="19" t="n"/>
      <c r="B328" s="20" t="inlineStr">
        <is>
          <t>4503-XH-DL-8631-8631-5091-CWR-08_Rev0</t>
        </is>
      </c>
      <c r="C328" s="21" t="n">
        <v>0</v>
      </c>
      <c r="D328" s="21" t="n">
        <v>46237</v>
      </c>
      <c r="E328" s="20" t="inlineStr">
        <is>
          <t>IFC-ISSUED FOR CONSTRUCTION</t>
        </is>
      </c>
      <c r="F328" s="21" t="n">
        <v>8631</v>
      </c>
      <c r="G328" s="20" t="inlineStr">
        <is>
          <t>PIPE B36.10/36.19 A671 CC60 CL.22 S2 BE BE</t>
        </is>
      </c>
      <c r="H328" s="20" t="inlineStr">
        <is>
          <t>A671</t>
        </is>
      </c>
      <c r="I328" s="22" t="n">
        <v>32</v>
      </c>
      <c r="J328" s="21" t="inlineStr">
        <is>
          <t>XS</t>
        </is>
      </c>
      <c r="K328" s="20" t="inlineStr">
        <is>
          <t>I65622125</t>
        </is>
      </c>
      <c r="L328" s="22" t="n">
        <v>0.8</v>
      </c>
      <c r="M328" s="20">
        <f>IFERROR(LEFT(B328,SEARCH("_Rev",B328)-1),B328)</f>
        <v/>
      </c>
      <c r="N328" s="20">
        <f>IF(B328="","",IF(ISNUMBER(C328),IF(COUNTIFS($M$3:$M$1026,M328,$C$3:$C$1026,"&gt;"&amp;C328)=0,"CURRENT","SUPERSEDED"),"CURRENT"))</f>
        <v/>
      </c>
      <c r="O328" s="19" t="n"/>
    </row>
    <row r="329">
      <c r="A329" s="19" t="n"/>
      <c r="B329" s="20" t="inlineStr">
        <is>
          <t>4503-XH-DL-8631-8631-5101-CWR-01_Rev0</t>
        </is>
      </c>
      <c r="C329" s="21" t="n">
        <v>0</v>
      </c>
      <c r="D329" s="21" t="n">
        <v>46237</v>
      </c>
      <c r="E329" s="20" t="inlineStr">
        <is>
          <t>IFC-ISSUED FOR CONSTRUCTION</t>
        </is>
      </c>
      <c r="F329" s="21" t="n">
        <v>8631</v>
      </c>
      <c r="G329" s="20" t="inlineStr">
        <is>
          <t>PIPE B36.10/36.19 A333 6-SMLS BE BE</t>
        </is>
      </c>
      <c r="H329" s="20" t="inlineStr">
        <is>
          <t>A333</t>
        </is>
      </c>
      <c r="I329" s="22" t="n">
        <v>10</v>
      </c>
      <c r="J329" s="21" t="inlineStr">
        <is>
          <t>STD</t>
        </is>
      </c>
      <c r="K329" s="20" t="inlineStr">
        <is>
          <t>I64108754</t>
        </is>
      </c>
      <c r="L329" s="22" t="n">
        <v>7.8</v>
      </c>
      <c r="M329" s="20">
        <f>IFERROR(LEFT(B329,SEARCH("_Rev",B329)-1),B329)</f>
        <v/>
      </c>
      <c r="N329" s="20">
        <f>IF(B329="","",IF(ISNUMBER(C329),IF(COUNTIFS($M$3:$M$1026,M329,$C$3:$C$1026,"&gt;"&amp;C329)=0,"CURRENT","SUPERSEDED"),"CURRENT"))</f>
        <v/>
      </c>
      <c r="O329" s="19" t="n"/>
    </row>
    <row r="330">
      <c r="A330" s="19" t="n"/>
      <c r="B330" s="20" t="inlineStr">
        <is>
          <t>4503-XH-DL-8631-8631-5101-CWR-02_Rev0</t>
        </is>
      </c>
      <c r="C330" s="21" t="n">
        <v>0</v>
      </c>
      <c r="D330" s="21" t="n">
        <v>46237</v>
      </c>
      <c r="E330" s="20" t="inlineStr">
        <is>
          <t>IFC-ISSUED FOR CONSTRUCTION</t>
        </is>
      </c>
      <c r="F330" s="21" t="n">
        <v>8631</v>
      </c>
      <c r="G330" s="20" t="inlineStr">
        <is>
          <t>PIPE B36.10/36.19 A333 6-SMLS BE BE</t>
        </is>
      </c>
      <c r="H330" s="20" t="inlineStr">
        <is>
          <t>A333</t>
        </is>
      </c>
      <c r="I330" s="22" t="n">
        <v>6</v>
      </c>
      <c r="J330" s="21" t="inlineStr">
        <is>
          <t>STD</t>
        </is>
      </c>
      <c r="K330" s="20" t="inlineStr">
        <is>
          <t>I63649156</t>
        </is>
      </c>
      <c r="L330" s="22" t="n">
        <v>0.2</v>
      </c>
      <c r="M330" s="20">
        <f>IFERROR(LEFT(B330,SEARCH("_Rev",B330)-1),B330)</f>
        <v/>
      </c>
      <c r="N330" s="20">
        <f>IF(B330="","",IF(ISNUMBER(C330),IF(COUNTIFS($M$3:$M$1026,M330,$C$3:$C$1026,"&gt;"&amp;C330)=0,"CURRENT","SUPERSEDED"),"CURRENT"))</f>
        <v/>
      </c>
      <c r="O330" s="19" t="n"/>
    </row>
    <row r="331">
      <c r="A331" s="19" t="n"/>
      <c r="B331" s="20" t="inlineStr">
        <is>
          <t>4503-XH-DL-8631-8631-5102-CWR-01_Rev0</t>
        </is>
      </c>
      <c r="C331" s="21" t="n">
        <v>0</v>
      </c>
      <c r="D331" s="21" t="n">
        <v>46237</v>
      </c>
      <c r="E331" s="20" t="inlineStr">
        <is>
          <t>IFC-ISSUED FOR CONSTRUCTION</t>
        </is>
      </c>
      <c r="F331" s="21" t="n">
        <v>8631</v>
      </c>
      <c r="G331" s="20" t="inlineStr">
        <is>
          <t>PIPE B36.10/36.19 A333 6-SMLS BE BE</t>
        </is>
      </c>
      <c r="H331" s="20" t="inlineStr">
        <is>
          <t>A333</t>
        </is>
      </c>
      <c r="I331" s="22" t="n">
        <v>10</v>
      </c>
      <c r="J331" s="21" t="inlineStr">
        <is>
          <t>STD</t>
        </is>
      </c>
      <c r="K331" s="20" t="inlineStr">
        <is>
          <t>I64108754</t>
        </is>
      </c>
      <c r="L331" s="22" t="n">
        <v>7.8</v>
      </c>
      <c r="M331" s="20">
        <f>IFERROR(LEFT(B331,SEARCH("_Rev",B331)-1),B331)</f>
        <v/>
      </c>
      <c r="N331" s="20">
        <f>IF(B331="","",IF(ISNUMBER(C331),IF(COUNTIFS($M$3:$M$1026,M331,$C$3:$C$1026,"&gt;"&amp;C331)=0,"CURRENT","SUPERSEDED"),"CURRENT"))</f>
        <v/>
      </c>
      <c r="O331" s="19" t="n"/>
    </row>
    <row r="332">
      <c r="A332" s="19" t="n"/>
      <c r="B332" s="20" t="inlineStr">
        <is>
          <t>4503-XH-DL-8631-8631-5102-CWR-02_Rev0</t>
        </is>
      </c>
      <c r="C332" s="21" t="n">
        <v>0</v>
      </c>
      <c r="D332" s="21" t="n">
        <v>46237</v>
      </c>
      <c r="E332" s="20" t="inlineStr">
        <is>
          <t>IFC-ISSUED FOR CONSTRUCTION</t>
        </is>
      </c>
      <c r="F332" s="21" t="n">
        <v>8631</v>
      </c>
      <c r="G332" s="20" t="inlineStr">
        <is>
          <t>PIPE B36.10/36.19 A333 6-SMLS BE BE</t>
        </is>
      </c>
      <c r="H332" s="20" t="inlineStr">
        <is>
          <t>A333</t>
        </is>
      </c>
      <c r="I332" s="22" t="n">
        <v>6</v>
      </c>
      <c r="J332" s="21" t="inlineStr">
        <is>
          <t>STD</t>
        </is>
      </c>
      <c r="K332" s="20" t="inlineStr">
        <is>
          <t>I63649156</t>
        </is>
      </c>
      <c r="L332" s="22" t="n">
        <v>0.2</v>
      </c>
      <c r="M332" s="20">
        <f>IFERROR(LEFT(B332,SEARCH("_Rev",B332)-1),B332)</f>
        <v/>
      </c>
      <c r="N332" s="20">
        <f>IF(B332="","",IF(ISNUMBER(C332),IF(COUNTIFS($M$3:$M$1026,M332,$C$3:$C$1026,"&gt;"&amp;C332)=0,"CURRENT","SUPERSEDED"),"CURRENT"))</f>
        <v/>
      </c>
      <c r="O332" s="19" t="n"/>
    </row>
    <row r="333">
      <c r="A333" s="19" t="n"/>
      <c r="B333" s="20" t="inlineStr">
        <is>
          <t>4503-XH-DL-8631-8631-5103-CWR-01_Rev0</t>
        </is>
      </c>
      <c r="C333" s="21" t="n">
        <v>0</v>
      </c>
      <c r="D333" s="21" t="n">
        <v>46237</v>
      </c>
      <c r="E333" s="20" t="inlineStr">
        <is>
          <t>IFC-ISSUED FOR CONSTRUCTION</t>
        </is>
      </c>
      <c r="F333" s="21" t="n">
        <v>8631</v>
      </c>
      <c r="G333" s="20" t="inlineStr">
        <is>
          <t>PIPE B36.10/36.19 A333 6-SMLS BE BE</t>
        </is>
      </c>
      <c r="H333" s="20" t="inlineStr">
        <is>
          <t>A333</t>
        </is>
      </c>
      <c r="I333" s="22" t="n">
        <v>10</v>
      </c>
      <c r="J333" s="21" t="inlineStr">
        <is>
          <t>STD</t>
        </is>
      </c>
      <c r="K333" s="20" t="inlineStr">
        <is>
          <t>I64108754</t>
        </is>
      </c>
      <c r="L333" s="22" t="n">
        <v>7.8</v>
      </c>
      <c r="M333" s="20">
        <f>IFERROR(LEFT(B333,SEARCH("_Rev",B333)-1),B333)</f>
        <v/>
      </c>
      <c r="N333" s="20">
        <f>IF(B333="","",IF(ISNUMBER(C333),IF(COUNTIFS($M$3:$M$1026,M333,$C$3:$C$1026,"&gt;"&amp;C333)=0,"CURRENT","SUPERSEDED"),"CURRENT"))</f>
        <v/>
      </c>
      <c r="O333" s="19" t="n"/>
    </row>
    <row r="334">
      <c r="A334" s="19" t="n"/>
      <c r="B334" s="20" t="inlineStr">
        <is>
          <t>4503-XH-DL-8631-8631-5103-CWR-02_Rev0</t>
        </is>
      </c>
      <c r="C334" s="21" t="n">
        <v>0</v>
      </c>
      <c r="D334" s="21" t="n">
        <v>46237</v>
      </c>
      <c r="E334" s="20" t="inlineStr">
        <is>
          <t>IFC-ISSUED FOR CONSTRUCTION</t>
        </is>
      </c>
      <c r="F334" s="21" t="n">
        <v>8631</v>
      </c>
      <c r="G334" s="20" t="inlineStr">
        <is>
          <t>PIPE B36.10/36.19 A333 6-SMLS BE BE</t>
        </is>
      </c>
      <c r="H334" s="20" t="inlineStr">
        <is>
          <t>A333</t>
        </is>
      </c>
      <c r="I334" s="22" t="n">
        <v>6</v>
      </c>
      <c r="J334" s="21" t="inlineStr">
        <is>
          <t>STD</t>
        </is>
      </c>
      <c r="K334" s="20" t="inlineStr">
        <is>
          <t>I63649156</t>
        </is>
      </c>
      <c r="L334" s="22" t="n">
        <v>0.2</v>
      </c>
      <c r="M334" s="20">
        <f>IFERROR(LEFT(B334,SEARCH("_Rev",B334)-1),B334)</f>
        <v/>
      </c>
      <c r="N334" s="20">
        <f>IF(B334="","",IF(ISNUMBER(C334),IF(COUNTIFS($M$3:$M$1026,M334,$C$3:$C$1026,"&gt;"&amp;C334)=0,"CURRENT","SUPERSEDED"),"CURRENT"))</f>
        <v/>
      </c>
      <c r="O334" s="19" t="n"/>
    </row>
    <row r="335">
      <c r="A335" s="19" t="n"/>
      <c r="B335" s="20" t="inlineStr">
        <is>
          <t>4503-XH-DL-8631-8631-5104-CWR-01_Rev0</t>
        </is>
      </c>
      <c r="C335" s="21" t="n">
        <v>0</v>
      </c>
      <c r="D335" s="21" t="n">
        <v>46237</v>
      </c>
      <c r="E335" s="20" t="inlineStr">
        <is>
          <t>IFC-ISSUED FOR CONSTRUCTION</t>
        </is>
      </c>
      <c r="F335" s="21" t="n">
        <v>8631</v>
      </c>
      <c r="G335" s="20" t="inlineStr">
        <is>
          <t>PIPE B36.10/36.19 A333 6-SMLS BE BE</t>
        </is>
      </c>
      <c r="H335" s="20" t="inlineStr">
        <is>
          <t>A333</t>
        </is>
      </c>
      <c r="I335" s="22" t="n">
        <v>10</v>
      </c>
      <c r="J335" s="21" t="inlineStr">
        <is>
          <t>STD</t>
        </is>
      </c>
      <c r="K335" s="20" t="inlineStr">
        <is>
          <t>I64108754</t>
        </is>
      </c>
      <c r="L335" s="22" t="n">
        <v>7.8</v>
      </c>
      <c r="M335" s="20">
        <f>IFERROR(LEFT(B335,SEARCH("_Rev",B335)-1),B335)</f>
        <v/>
      </c>
      <c r="N335" s="20">
        <f>IF(B335="","",IF(ISNUMBER(C335),IF(COUNTIFS($M$3:$M$1026,M335,$C$3:$C$1026,"&gt;"&amp;C335)=0,"CURRENT","SUPERSEDED"),"CURRENT"))</f>
        <v/>
      </c>
      <c r="O335" s="19" t="n"/>
    </row>
    <row r="336">
      <c r="A336" s="19" t="n"/>
      <c r="B336" s="20" t="inlineStr">
        <is>
          <t>4503-XH-DL-8631-8631-5104-CWR-02_Rev0</t>
        </is>
      </c>
      <c r="C336" s="21" t="n">
        <v>0</v>
      </c>
      <c r="D336" s="21" t="n">
        <v>46237</v>
      </c>
      <c r="E336" s="20" t="inlineStr">
        <is>
          <t>IFC-ISSUED FOR CONSTRUCTION</t>
        </is>
      </c>
      <c r="F336" s="21" t="n">
        <v>8631</v>
      </c>
      <c r="G336" s="20" t="inlineStr">
        <is>
          <t>PIPE B36.10/36.19 A333 6-SMLS BE BE</t>
        </is>
      </c>
      <c r="H336" s="20" t="inlineStr">
        <is>
          <t>A333</t>
        </is>
      </c>
      <c r="I336" s="22" t="n">
        <v>6</v>
      </c>
      <c r="J336" s="21" t="inlineStr">
        <is>
          <t>STD</t>
        </is>
      </c>
      <c r="K336" s="20" t="inlineStr">
        <is>
          <t>I63649156</t>
        </is>
      </c>
      <c r="L336" s="22" t="n">
        <v>0.2</v>
      </c>
      <c r="M336" s="20">
        <f>IFERROR(LEFT(B336,SEARCH("_Rev",B336)-1),B336)</f>
        <v/>
      </c>
      <c r="N336" s="20">
        <f>IF(B336="","",IF(ISNUMBER(C336),IF(COUNTIFS($M$3:$M$1026,M336,$C$3:$C$1026,"&gt;"&amp;C336)=0,"CURRENT","SUPERSEDED"),"CURRENT"))</f>
        <v/>
      </c>
      <c r="O336" s="19" t="n"/>
    </row>
    <row r="337">
      <c r="A337" s="19" t="n"/>
      <c r="B337" s="20" t="inlineStr">
        <is>
          <t>4503-XH-DL-8631-8631-5105-CWR-01_Rev0</t>
        </is>
      </c>
      <c r="C337" s="21" t="n">
        <v>0</v>
      </c>
      <c r="D337" s="21" t="n">
        <v>46237</v>
      </c>
      <c r="E337" s="20" t="inlineStr">
        <is>
          <t>IFC-ISSUED FOR CONSTRUCTION</t>
        </is>
      </c>
      <c r="F337" s="21" t="n">
        <v>8631</v>
      </c>
      <c r="G337" s="20" t="inlineStr">
        <is>
          <t>PIPE B36.10/36.19 A333 6-SMLS BE BE</t>
        </is>
      </c>
      <c r="H337" s="20" t="inlineStr">
        <is>
          <t>A333</t>
        </is>
      </c>
      <c r="I337" s="22" t="n">
        <v>10</v>
      </c>
      <c r="J337" s="21" t="inlineStr">
        <is>
          <t>STD</t>
        </is>
      </c>
      <c r="K337" s="20" t="inlineStr">
        <is>
          <t>I64108754</t>
        </is>
      </c>
      <c r="L337" s="22" t="n">
        <v>7.8</v>
      </c>
      <c r="M337" s="20">
        <f>IFERROR(LEFT(B337,SEARCH("_Rev",B337)-1),B337)</f>
        <v/>
      </c>
      <c r="N337" s="20">
        <f>IF(B337="","",IF(ISNUMBER(C337),IF(COUNTIFS($M$3:$M$1026,M337,$C$3:$C$1026,"&gt;"&amp;C337)=0,"CURRENT","SUPERSEDED"),"CURRENT"))</f>
        <v/>
      </c>
      <c r="O337" s="19" t="n"/>
    </row>
    <row r="338">
      <c r="A338" s="19" t="n"/>
      <c r="B338" s="20" t="inlineStr">
        <is>
          <t>4503-XH-DL-8631-8631-5105-CWR-02_Rev0</t>
        </is>
      </c>
      <c r="C338" s="21" t="n">
        <v>0</v>
      </c>
      <c r="D338" s="21" t="n">
        <v>46237</v>
      </c>
      <c r="E338" s="20" t="inlineStr">
        <is>
          <t>IFC-ISSUED FOR CONSTRUCTION</t>
        </is>
      </c>
      <c r="F338" s="21" t="n">
        <v>8631</v>
      </c>
      <c r="G338" s="20" t="inlineStr">
        <is>
          <t>PIPE B36.10/36.19 A333 6-SMLS BE BE</t>
        </is>
      </c>
      <c r="H338" s="20" t="inlineStr">
        <is>
          <t>A333</t>
        </is>
      </c>
      <c r="I338" s="22" t="n">
        <v>6</v>
      </c>
      <c r="J338" s="21" t="inlineStr">
        <is>
          <t>STD</t>
        </is>
      </c>
      <c r="K338" s="20" t="inlineStr">
        <is>
          <t>I63649156</t>
        </is>
      </c>
      <c r="L338" s="22" t="n">
        <v>0.2</v>
      </c>
      <c r="M338" s="20">
        <f>IFERROR(LEFT(B338,SEARCH("_Rev",B338)-1),B338)</f>
        <v/>
      </c>
      <c r="N338" s="20">
        <f>IF(B338="","",IF(ISNUMBER(C338),IF(COUNTIFS($M$3:$M$1026,M338,$C$3:$C$1026,"&gt;"&amp;C338)=0,"CURRENT","SUPERSEDED"),"CURRENT"))</f>
        <v/>
      </c>
      <c r="O338" s="19" t="n"/>
    </row>
    <row r="339">
      <c r="A339" s="19" t="n"/>
      <c r="B339" s="20" t="inlineStr">
        <is>
          <t>4503-XH-DL-8631-8631-5106-CWR-01_Rev0</t>
        </is>
      </c>
      <c r="C339" s="21" t="n">
        <v>0</v>
      </c>
      <c r="D339" s="21" t="n">
        <v>46237</v>
      </c>
      <c r="E339" s="20" t="inlineStr">
        <is>
          <t>IFC-ISSUED FOR CONSTRUCTION</t>
        </is>
      </c>
      <c r="F339" s="21" t="n">
        <v>8631</v>
      </c>
      <c r="G339" s="20" t="inlineStr">
        <is>
          <t>PIPE B36.10/36.19 A333 6-SMLS BE BE</t>
        </is>
      </c>
      <c r="H339" s="20" t="inlineStr">
        <is>
          <t>A333</t>
        </is>
      </c>
      <c r="I339" s="22" t="n">
        <v>10</v>
      </c>
      <c r="J339" s="21" t="inlineStr">
        <is>
          <t>STD</t>
        </is>
      </c>
      <c r="K339" s="20" t="inlineStr">
        <is>
          <t>I64108754</t>
        </is>
      </c>
      <c r="L339" s="22" t="n">
        <v>7.8</v>
      </c>
      <c r="M339" s="20">
        <f>IFERROR(LEFT(B339,SEARCH("_Rev",B339)-1),B339)</f>
        <v/>
      </c>
      <c r="N339" s="20">
        <f>IF(B339="","",IF(ISNUMBER(C339),IF(COUNTIFS($M$3:$M$1026,M339,$C$3:$C$1026,"&gt;"&amp;C339)=0,"CURRENT","SUPERSEDED"),"CURRENT"))</f>
        <v/>
      </c>
      <c r="O339" s="19" t="n"/>
    </row>
    <row r="340">
      <c r="A340" s="19" t="n"/>
      <c r="B340" s="20" t="inlineStr">
        <is>
          <t>4503-XH-DL-8631-8631-5106-CWR-02_Rev0</t>
        </is>
      </c>
      <c r="C340" s="21" t="n">
        <v>0</v>
      </c>
      <c r="D340" s="21" t="n">
        <v>46237</v>
      </c>
      <c r="E340" s="20" t="inlineStr">
        <is>
          <t>IFC-ISSUED FOR CONSTRUCTION</t>
        </is>
      </c>
      <c r="F340" s="21" t="n">
        <v>8631</v>
      </c>
      <c r="G340" s="20" t="inlineStr">
        <is>
          <t>PIPE B36.10/36.19 A333 6-SMLS BE BE</t>
        </is>
      </c>
      <c r="H340" s="20" t="inlineStr">
        <is>
          <t>A333</t>
        </is>
      </c>
      <c r="I340" s="22" t="n">
        <v>6</v>
      </c>
      <c r="J340" s="21" t="inlineStr">
        <is>
          <t>STD</t>
        </is>
      </c>
      <c r="K340" s="20" t="inlineStr">
        <is>
          <t>I63649156</t>
        </is>
      </c>
      <c r="L340" s="22" t="n">
        <v>0.2</v>
      </c>
      <c r="M340" s="20">
        <f>IFERROR(LEFT(B340,SEARCH("_Rev",B340)-1),B340)</f>
        <v/>
      </c>
      <c r="N340" s="20">
        <f>IF(B340="","",IF(ISNUMBER(C340),IF(COUNTIFS($M$3:$M$1026,M340,$C$3:$C$1026,"&gt;"&amp;C340)=0,"CURRENT","SUPERSEDED"),"CURRENT"))</f>
        <v/>
      </c>
      <c r="O340" s="19" t="n"/>
    </row>
    <row r="341">
      <c r="A341" s="19" t="n"/>
      <c r="B341" s="20" t="inlineStr">
        <is>
          <t>4503-XH-DL-8631-8631-5107-CWR-01_Rev0</t>
        </is>
      </c>
      <c r="C341" s="21" t="n">
        <v>0</v>
      </c>
      <c r="D341" s="21" t="n">
        <v>46237</v>
      </c>
      <c r="E341" s="20" t="inlineStr">
        <is>
          <t>IFC-ISSUED FOR CONSTRUCTION</t>
        </is>
      </c>
      <c r="F341" s="21" t="n">
        <v>8631</v>
      </c>
      <c r="G341" s="20" t="inlineStr">
        <is>
          <t>PIPE B36.10/36.19 A333 6-SMLS BE BE</t>
        </is>
      </c>
      <c r="H341" s="20" t="inlineStr">
        <is>
          <t>A333</t>
        </is>
      </c>
      <c r="I341" s="22" t="n">
        <v>10</v>
      </c>
      <c r="J341" s="21" t="inlineStr">
        <is>
          <t>STD</t>
        </is>
      </c>
      <c r="K341" s="20" t="inlineStr">
        <is>
          <t>I64108754</t>
        </is>
      </c>
      <c r="L341" s="22" t="n">
        <v>7.8</v>
      </c>
      <c r="M341" s="20">
        <f>IFERROR(LEFT(B341,SEARCH("_Rev",B341)-1),B341)</f>
        <v/>
      </c>
      <c r="N341" s="20">
        <f>IF(B341="","",IF(ISNUMBER(C341),IF(COUNTIFS($M$3:$M$1026,M341,$C$3:$C$1026,"&gt;"&amp;C341)=0,"CURRENT","SUPERSEDED"),"CURRENT"))</f>
        <v/>
      </c>
      <c r="O341" s="19" t="n"/>
    </row>
    <row r="342">
      <c r="A342" s="19" t="n"/>
      <c r="B342" s="20" t="inlineStr">
        <is>
          <t>4503-XH-DL-8631-8631-5107-CWR-02_Rev0</t>
        </is>
      </c>
      <c r="C342" s="21" t="n">
        <v>0</v>
      </c>
      <c r="D342" s="21" t="n">
        <v>46237</v>
      </c>
      <c r="E342" s="20" t="inlineStr">
        <is>
          <t>IFC-ISSUED FOR CONSTRUCTION</t>
        </is>
      </c>
      <c r="F342" s="21" t="n">
        <v>8631</v>
      </c>
      <c r="G342" s="20" t="inlineStr">
        <is>
          <t>PIPE B36.10/36.19 A333 6-SMLS BE BE</t>
        </is>
      </c>
      <c r="H342" s="20" t="inlineStr">
        <is>
          <t>A333</t>
        </is>
      </c>
      <c r="I342" s="22" t="n">
        <v>6</v>
      </c>
      <c r="J342" s="21" t="inlineStr">
        <is>
          <t>STD</t>
        </is>
      </c>
      <c r="K342" s="20" t="inlineStr">
        <is>
          <t>I63649156</t>
        </is>
      </c>
      <c r="L342" s="22" t="n">
        <v>0.2</v>
      </c>
      <c r="M342" s="20">
        <f>IFERROR(LEFT(B342,SEARCH("_Rev",B342)-1),B342)</f>
        <v/>
      </c>
      <c r="N342" s="20">
        <f>IF(B342="","",IF(ISNUMBER(C342),IF(COUNTIFS($M$3:$M$1026,M342,$C$3:$C$1026,"&gt;"&amp;C342)=0,"CURRENT","SUPERSEDED"),"CURRENT"))</f>
        <v/>
      </c>
      <c r="O342" s="19" t="n"/>
    </row>
    <row r="343">
      <c r="A343" s="19" t="n"/>
      <c r="B343" s="20" t="inlineStr">
        <is>
          <t>4503-XH-DL-8631-8631-5108-CWR-01_Rev0</t>
        </is>
      </c>
      <c r="C343" s="21" t="n">
        <v>0</v>
      </c>
      <c r="D343" s="21" t="n">
        <v>46237</v>
      </c>
      <c r="E343" s="20" t="inlineStr">
        <is>
          <t>IFC-ISSUED FOR CONSTRUCTION</t>
        </is>
      </c>
      <c r="F343" s="21" t="n">
        <v>8631</v>
      </c>
      <c r="G343" s="20" t="inlineStr">
        <is>
          <t>PIPE B36.10/36.19 A333 6-SMLS BE BE</t>
        </is>
      </c>
      <c r="H343" s="20" t="inlineStr">
        <is>
          <t>A333</t>
        </is>
      </c>
      <c r="I343" s="22" t="n">
        <v>10</v>
      </c>
      <c r="J343" s="21" t="inlineStr">
        <is>
          <t>STD</t>
        </is>
      </c>
      <c r="K343" s="20" t="inlineStr">
        <is>
          <t>I64108754</t>
        </is>
      </c>
      <c r="L343" s="22" t="n">
        <v>7.8</v>
      </c>
      <c r="M343" s="20">
        <f>IFERROR(LEFT(B343,SEARCH("_Rev",B343)-1),B343)</f>
        <v/>
      </c>
      <c r="N343" s="20">
        <f>IF(B343="","",IF(ISNUMBER(C343),IF(COUNTIFS($M$3:$M$1026,M343,$C$3:$C$1026,"&gt;"&amp;C343)=0,"CURRENT","SUPERSEDED"),"CURRENT"))</f>
        <v/>
      </c>
      <c r="O343" s="19" t="n"/>
    </row>
    <row r="344">
      <c r="A344" s="19" t="n"/>
      <c r="B344" s="20" t="inlineStr">
        <is>
          <t>4503-XH-DL-8631-8631-5108-CWR-02_Rev0</t>
        </is>
      </c>
      <c r="C344" s="21" t="n">
        <v>0</v>
      </c>
      <c r="D344" s="21" t="n">
        <v>46237</v>
      </c>
      <c r="E344" s="20" t="inlineStr">
        <is>
          <t>IFC-ISSUED FOR CONSTRUCTION</t>
        </is>
      </c>
      <c r="F344" s="21" t="n">
        <v>8631</v>
      </c>
      <c r="G344" s="20" t="inlineStr">
        <is>
          <t>PIPE B36.10/36.19 A333 6-SMLS BE BE</t>
        </is>
      </c>
      <c r="H344" s="20" t="inlineStr">
        <is>
          <t>A333</t>
        </is>
      </c>
      <c r="I344" s="22" t="n">
        <v>6</v>
      </c>
      <c r="J344" s="21" t="inlineStr">
        <is>
          <t>STD</t>
        </is>
      </c>
      <c r="K344" s="20" t="inlineStr">
        <is>
          <t>I63649156</t>
        </is>
      </c>
      <c r="L344" s="22" t="n">
        <v>0.2</v>
      </c>
      <c r="M344" s="20">
        <f>IFERROR(LEFT(B344,SEARCH("_Rev",B344)-1),B344)</f>
        <v/>
      </c>
      <c r="N344" s="20">
        <f>IF(B344="","",IF(ISNUMBER(C344),IF(COUNTIFS($M$3:$M$1026,M344,$C$3:$C$1026,"&gt;"&amp;C344)=0,"CURRENT","SUPERSEDED"),"CURRENT"))</f>
        <v/>
      </c>
      <c r="O344" s="19" t="n"/>
    </row>
    <row r="345">
      <c r="A345" s="19" t="n"/>
      <c r="B345" s="20" t="inlineStr">
        <is>
          <t>4503-XH-DL-8631-8631-5109-CWR-01_Rev0</t>
        </is>
      </c>
      <c r="C345" s="21" t="n">
        <v>0</v>
      </c>
      <c r="D345" s="21" t="n">
        <v>46237</v>
      </c>
      <c r="E345" s="20" t="inlineStr">
        <is>
          <t>IFC-ISSUED FOR CONSTRUCTION</t>
        </is>
      </c>
      <c r="F345" s="21" t="n">
        <v>8631</v>
      </c>
      <c r="G345" s="20" t="inlineStr">
        <is>
          <t>PIPE B36.10/36.19 A333 6-SMLS BE BE</t>
        </is>
      </c>
      <c r="H345" s="20" t="inlineStr">
        <is>
          <t>A333</t>
        </is>
      </c>
      <c r="I345" s="22" t="n">
        <v>10</v>
      </c>
      <c r="J345" s="21" t="inlineStr">
        <is>
          <t>STD</t>
        </is>
      </c>
      <c r="K345" s="20" t="inlineStr">
        <is>
          <t>I64108754</t>
        </is>
      </c>
      <c r="L345" s="22" t="n">
        <v>7.8</v>
      </c>
      <c r="M345" s="20">
        <f>IFERROR(LEFT(B345,SEARCH("_Rev",B345)-1),B345)</f>
        <v/>
      </c>
      <c r="N345" s="20">
        <f>IF(B345="","",IF(ISNUMBER(C345),IF(COUNTIFS($M$3:$M$1026,M345,$C$3:$C$1026,"&gt;"&amp;C345)=0,"CURRENT","SUPERSEDED"),"CURRENT"))</f>
        <v/>
      </c>
      <c r="O345" s="19" t="n"/>
    </row>
    <row r="346">
      <c r="A346" s="19" t="n"/>
      <c r="B346" s="20" t="inlineStr">
        <is>
          <t>4503-XH-DL-8631-8631-5109-CWR-02_Rev0</t>
        </is>
      </c>
      <c r="C346" s="21" t="n">
        <v>0</v>
      </c>
      <c r="D346" s="21" t="n">
        <v>46237</v>
      </c>
      <c r="E346" s="20" t="inlineStr">
        <is>
          <t>IFC-ISSUED FOR CONSTRUCTION</t>
        </is>
      </c>
      <c r="F346" s="21" t="n">
        <v>8631</v>
      </c>
      <c r="G346" s="20" t="inlineStr">
        <is>
          <t>PIPE B36.10/36.19 A333 6-SMLS BE BE</t>
        </is>
      </c>
      <c r="H346" s="20" t="inlineStr">
        <is>
          <t>A333</t>
        </is>
      </c>
      <c r="I346" s="22" t="n">
        <v>6</v>
      </c>
      <c r="J346" s="21" t="inlineStr">
        <is>
          <t>STD</t>
        </is>
      </c>
      <c r="K346" s="20" t="inlineStr">
        <is>
          <t>I63649156</t>
        </is>
      </c>
      <c r="L346" s="22" t="n">
        <v>0.2</v>
      </c>
      <c r="M346" s="20">
        <f>IFERROR(LEFT(B346,SEARCH("_Rev",B346)-1),B346)</f>
        <v/>
      </c>
      <c r="N346" s="20">
        <f>IF(B346="","",IF(ISNUMBER(C346),IF(COUNTIFS($M$3:$M$1026,M346,$C$3:$C$1026,"&gt;"&amp;C346)=0,"CURRENT","SUPERSEDED"),"CURRENT"))</f>
        <v/>
      </c>
      <c r="O346" s="19" t="n"/>
    </row>
    <row r="347">
      <c r="A347" s="19" t="n"/>
      <c r="B347" s="20" t="inlineStr">
        <is>
          <t>4503-XH-DL-8631-8631-5110-CWR-01_Rev0</t>
        </is>
      </c>
      <c r="C347" s="21" t="n">
        <v>0</v>
      </c>
      <c r="D347" s="21" t="n">
        <v>46237</v>
      </c>
      <c r="E347" s="20" t="inlineStr">
        <is>
          <t>IFC-ISSUED FOR CONSTRUCTION</t>
        </is>
      </c>
      <c r="F347" s="21" t="n">
        <v>8631</v>
      </c>
      <c r="G347" s="20" t="inlineStr">
        <is>
          <t>PIPE B36.10/36.19 A333 6-SMLS BE BE</t>
        </is>
      </c>
      <c r="H347" s="20" t="inlineStr">
        <is>
          <t>A333</t>
        </is>
      </c>
      <c r="I347" s="22" t="n">
        <v>10</v>
      </c>
      <c r="J347" s="21" t="inlineStr">
        <is>
          <t>STD</t>
        </is>
      </c>
      <c r="K347" s="20" t="inlineStr">
        <is>
          <t>I64108754</t>
        </is>
      </c>
      <c r="L347" s="22" t="n">
        <v>7.8</v>
      </c>
      <c r="M347" s="20">
        <f>IFERROR(LEFT(B347,SEARCH("_Rev",B347)-1),B347)</f>
        <v/>
      </c>
      <c r="N347" s="20">
        <f>IF(B347="","",IF(ISNUMBER(C347),IF(COUNTIFS($M$3:$M$1026,M347,$C$3:$C$1026,"&gt;"&amp;C347)=0,"CURRENT","SUPERSEDED"),"CURRENT"))</f>
        <v/>
      </c>
      <c r="O347" s="19" t="n"/>
    </row>
    <row r="348">
      <c r="A348" s="19" t="n"/>
      <c r="B348" s="20" t="inlineStr">
        <is>
          <t>4503-XH-DL-8631-8631-5110-CWR-02_Rev0</t>
        </is>
      </c>
      <c r="C348" s="21" t="n">
        <v>0</v>
      </c>
      <c r="D348" s="21" t="n">
        <v>46237</v>
      </c>
      <c r="E348" s="20" t="inlineStr">
        <is>
          <t>IFC-ISSUED FOR CONSTRUCTION</t>
        </is>
      </c>
      <c r="F348" s="21" t="n">
        <v>8631</v>
      </c>
      <c r="G348" s="20" t="inlineStr">
        <is>
          <t>PIPE B36.10/36.19 A333 6-SMLS BE BE</t>
        </is>
      </c>
      <c r="H348" s="20" t="inlineStr">
        <is>
          <t>A333</t>
        </is>
      </c>
      <c r="I348" s="22" t="n">
        <v>6</v>
      </c>
      <c r="J348" s="21" t="inlineStr">
        <is>
          <t>STD</t>
        </is>
      </c>
      <c r="K348" s="20" t="inlineStr">
        <is>
          <t>I63649156</t>
        </is>
      </c>
      <c r="L348" s="22" t="n">
        <v>0.2</v>
      </c>
      <c r="M348" s="20">
        <f>IFERROR(LEFT(B348,SEARCH("_Rev",B348)-1),B348)</f>
        <v/>
      </c>
      <c r="N348" s="20">
        <f>IF(B348="","",IF(ISNUMBER(C348),IF(COUNTIFS($M$3:$M$1026,M348,$C$3:$C$1026,"&gt;"&amp;C348)=0,"CURRENT","SUPERSEDED"),"CURRENT"))</f>
        <v/>
      </c>
      <c r="O348" s="19" t="n"/>
    </row>
    <row r="349">
      <c r="A349" s="19" t="n"/>
      <c r="B349" s="20" t="inlineStr">
        <is>
          <t>4503-XH-DL-8631-8631-5111-CWR-01_Rev0</t>
        </is>
      </c>
      <c r="C349" s="21" t="n">
        <v>0</v>
      </c>
      <c r="D349" s="21" t="n">
        <v>46237</v>
      </c>
      <c r="E349" s="20" t="inlineStr">
        <is>
          <t>IFC-ISSUED FOR CONSTRUCTION</t>
        </is>
      </c>
      <c r="F349" s="21" t="n">
        <v>8631</v>
      </c>
      <c r="G349" s="20" t="inlineStr">
        <is>
          <t>PIPE B36.10/36.19 A333 6-SMLS BE BE</t>
        </is>
      </c>
      <c r="H349" s="20" t="inlineStr">
        <is>
          <t>A333</t>
        </is>
      </c>
      <c r="I349" s="22" t="n">
        <v>10</v>
      </c>
      <c r="J349" s="21" t="inlineStr">
        <is>
          <t>STD</t>
        </is>
      </c>
      <c r="K349" s="20" t="inlineStr">
        <is>
          <t>I64108754</t>
        </is>
      </c>
      <c r="L349" s="22" t="n">
        <v>7.8</v>
      </c>
      <c r="M349" s="20">
        <f>IFERROR(LEFT(B349,SEARCH("_Rev",B349)-1),B349)</f>
        <v/>
      </c>
      <c r="N349" s="20">
        <f>IF(B349="","",IF(ISNUMBER(C349),IF(COUNTIFS($M$3:$M$1026,M349,$C$3:$C$1026,"&gt;"&amp;C349)=0,"CURRENT","SUPERSEDED"),"CURRENT"))</f>
        <v/>
      </c>
      <c r="O349" s="19" t="n"/>
    </row>
    <row r="350">
      <c r="A350" s="19" t="n"/>
      <c r="B350" s="20" t="inlineStr">
        <is>
          <t>4503-XH-DL-8631-8631-5111-CWR-02_Rev0</t>
        </is>
      </c>
      <c r="C350" s="21" t="n">
        <v>0</v>
      </c>
      <c r="D350" s="21" t="n">
        <v>46237</v>
      </c>
      <c r="E350" s="20" t="inlineStr">
        <is>
          <t>IFC-ISSUED FOR CONSTRUCTION</t>
        </is>
      </c>
      <c r="F350" s="21" t="n">
        <v>8631</v>
      </c>
      <c r="G350" s="20" t="inlineStr">
        <is>
          <t>PIPE B36.10/36.19 A333 6-SMLS BE BE</t>
        </is>
      </c>
      <c r="H350" s="20" t="inlineStr">
        <is>
          <t>A333</t>
        </is>
      </c>
      <c r="I350" s="22" t="n">
        <v>6</v>
      </c>
      <c r="J350" s="21" t="inlineStr">
        <is>
          <t>STD</t>
        </is>
      </c>
      <c r="K350" s="20" t="inlineStr">
        <is>
          <t>I63649156</t>
        </is>
      </c>
      <c r="L350" s="22" t="n">
        <v>0.2</v>
      </c>
      <c r="M350" s="20">
        <f>IFERROR(LEFT(B350,SEARCH("_Rev",B350)-1),B350)</f>
        <v/>
      </c>
      <c r="N350" s="20">
        <f>IF(B350="","",IF(ISNUMBER(C350),IF(COUNTIFS($M$3:$M$1026,M350,$C$3:$C$1026,"&gt;"&amp;C350)=0,"CURRENT","SUPERSEDED"),"CURRENT"))</f>
        <v/>
      </c>
      <c r="O350" s="19" t="n"/>
    </row>
    <row r="351">
      <c r="A351" s="19" t="n"/>
      <c r="B351" s="20" t="inlineStr">
        <is>
          <t>4503-XH-DL-8631-8631-5112-CWR-01_Rev0</t>
        </is>
      </c>
      <c r="C351" s="21" t="n">
        <v>0</v>
      </c>
      <c r="D351" s="21" t="n">
        <v>46237</v>
      </c>
      <c r="E351" s="20" t="inlineStr">
        <is>
          <t>IFC-ISSUED FOR CONSTRUCTION</t>
        </is>
      </c>
      <c r="F351" s="21" t="n">
        <v>8631</v>
      </c>
      <c r="G351" s="20" t="inlineStr">
        <is>
          <t>PIPE B36.10/36.19 A333 6-SMLS BE BE</t>
        </is>
      </c>
      <c r="H351" s="20" t="inlineStr">
        <is>
          <t>A333</t>
        </is>
      </c>
      <c r="I351" s="22" t="n">
        <v>10</v>
      </c>
      <c r="J351" s="21" t="inlineStr">
        <is>
          <t>STD</t>
        </is>
      </c>
      <c r="K351" s="20" t="inlineStr">
        <is>
          <t>I64108754</t>
        </is>
      </c>
      <c r="L351" s="22" t="n">
        <v>7.8</v>
      </c>
      <c r="M351" s="20">
        <f>IFERROR(LEFT(B351,SEARCH("_Rev",B351)-1),B351)</f>
        <v/>
      </c>
      <c r="N351" s="20">
        <f>IF(B351="","",IF(ISNUMBER(C351),IF(COUNTIFS($M$3:$M$1026,M351,$C$3:$C$1026,"&gt;"&amp;C351)=0,"CURRENT","SUPERSEDED"),"CURRENT"))</f>
        <v/>
      </c>
      <c r="O351" s="19" t="n"/>
    </row>
    <row r="352">
      <c r="A352" s="19" t="n"/>
      <c r="B352" s="20" t="inlineStr">
        <is>
          <t>4503-XH-DL-8631-8631-5112-CWR-02_Rev0</t>
        </is>
      </c>
      <c r="C352" s="21" t="n">
        <v>0</v>
      </c>
      <c r="D352" s="21" t="n">
        <v>46237</v>
      </c>
      <c r="E352" s="20" t="inlineStr">
        <is>
          <t>IFC-ISSUED FOR CONSTRUCTION</t>
        </is>
      </c>
      <c r="F352" s="21" t="n">
        <v>8631</v>
      </c>
      <c r="G352" s="20" t="inlineStr">
        <is>
          <t>PIPE B36.10/36.19 A333 6-SMLS BE BE</t>
        </is>
      </c>
      <c r="H352" s="20" t="inlineStr">
        <is>
          <t>A333</t>
        </is>
      </c>
      <c r="I352" s="22" t="n">
        <v>6</v>
      </c>
      <c r="J352" s="21" t="inlineStr">
        <is>
          <t>STD</t>
        </is>
      </c>
      <c r="K352" s="20" t="inlineStr">
        <is>
          <t>I63649156</t>
        </is>
      </c>
      <c r="L352" s="22" t="n">
        <v>0.2</v>
      </c>
      <c r="M352" s="20">
        <f>IFERROR(LEFT(B352,SEARCH("_Rev",B352)-1),B352)</f>
        <v/>
      </c>
      <c r="N352" s="20">
        <f>IF(B352="","",IF(ISNUMBER(C352),IF(COUNTIFS($M$3:$M$1026,M352,$C$3:$C$1026,"&gt;"&amp;C352)=0,"CURRENT","SUPERSEDED"),"CURRENT"))</f>
        <v/>
      </c>
      <c r="O352" s="19" t="n"/>
    </row>
    <row r="353">
      <c r="A353" s="19" t="n"/>
      <c r="B353" s="20" t="inlineStr">
        <is>
          <t>4503-XH-DL-8631-8631-5113-CWR-01_Rev0</t>
        </is>
      </c>
      <c r="C353" s="21" t="n">
        <v>0</v>
      </c>
      <c r="D353" s="21" t="n">
        <v>46237</v>
      </c>
      <c r="E353" s="20" t="inlineStr">
        <is>
          <t>IFC-ISSUED FOR CONSTRUCTION</t>
        </is>
      </c>
      <c r="F353" s="21" t="n">
        <v>8631</v>
      </c>
      <c r="G353" s="20" t="inlineStr">
        <is>
          <t>PIPE B36.10/36.19 A333 6-SMLS BE BE</t>
        </is>
      </c>
      <c r="H353" s="20" t="inlineStr">
        <is>
          <t>A333</t>
        </is>
      </c>
      <c r="I353" s="22" t="n">
        <v>10</v>
      </c>
      <c r="J353" s="21" t="inlineStr">
        <is>
          <t>STD</t>
        </is>
      </c>
      <c r="K353" s="20" t="inlineStr">
        <is>
          <t>I64108754</t>
        </is>
      </c>
      <c r="L353" s="22" t="n">
        <v>7.8</v>
      </c>
      <c r="M353" s="20">
        <f>IFERROR(LEFT(B353,SEARCH("_Rev",B353)-1),B353)</f>
        <v/>
      </c>
      <c r="N353" s="20">
        <f>IF(B353="","",IF(ISNUMBER(C353),IF(COUNTIFS($M$3:$M$1026,M353,$C$3:$C$1026,"&gt;"&amp;C353)=0,"CURRENT","SUPERSEDED"),"CURRENT"))</f>
        <v/>
      </c>
      <c r="O353" s="19" t="n"/>
    </row>
    <row r="354">
      <c r="A354" s="19" t="n"/>
      <c r="B354" s="20" t="inlineStr">
        <is>
          <t>4503-XH-DL-8631-8631-5113-CWR-02_Rev0</t>
        </is>
      </c>
      <c r="C354" s="21" t="n">
        <v>0</v>
      </c>
      <c r="D354" s="21" t="n">
        <v>46237</v>
      </c>
      <c r="E354" s="20" t="inlineStr">
        <is>
          <t>IFC-ISSUED FOR CONSTRUCTION</t>
        </is>
      </c>
      <c r="F354" s="21" t="n">
        <v>8631</v>
      </c>
      <c r="G354" s="20" t="inlineStr">
        <is>
          <t>PIPE B36.10/36.19 A333 6-SMLS BE BE</t>
        </is>
      </c>
      <c r="H354" s="20" t="inlineStr">
        <is>
          <t>A333</t>
        </is>
      </c>
      <c r="I354" s="22" t="n">
        <v>6</v>
      </c>
      <c r="J354" s="21" t="inlineStr">
        <is>
          <t>STD</t>
        </is>
      </c>
      <c r="K354" s="20" t="inlineStr">
        <is>
          <t>I63649156</t>
        </is>
      </c>
      <c r="L354" s="22" t="n">
        <v>0.2</v>
      </c>
      <c r="M354" s="20">
        <f>IFERROR(LEFT(B354,SEARCH("_Rev",B354)-1),B354)</f>
        <v/>
      </c>
      <c r="N354" s="20">
        <f>IF(B354="","",IF(ISNUMBER(C354),IF(COUNTIFS($M$3:$M$1026,M354,$C$3:$C$1026,"&gt;"&amp;C354)=0,"CURRENT","SUPERSEDED"),"CURRENT"))</f>
        <v/>
      </c>
      <c r="O354" s="19" t="n"/>
    </row>
    <row r="355">
      <c r="A355" s="19" t="n"/>
      <c r="B355" s="20" t="inlineStr">
        <is>
          <t>4503-XH-DL-8631-8631-5114-CWR-01_Rev0</t>
        </is>
      </c>
      <c r="C355" s="21" t="n">
        <v>0</v>
      </c>
      <c r="D355" s="21" t="n">
        <v>46237</v>
      </c>
      <c r="E355" s="20" t="inlineStr">
        <is>
          <t>IFC-ISSUED FOR CONSTRUCTION</t>
        </is>
      </c>
      <c r="F355" s="21" t="n">
        <v>8631</v>
      </c>
      <c r="G355" s="20" t="inlineStr">
        <is>
          <t>PIPE B36.10/36.19 A333 6-SMLS BE BE</t>
        </is>
      </c>
      <c r="H355" s="20" t="inlineStr">
        <is>
          <t>A333</t>
        </is>
      </c>
      <c r="I355" s="22" t="n">
        <v>10</v>
      </c>
      <c r="J355" s="21" t="inlineStr">
        <is>
          <t>STD</t>
        </is>
      </c>
      <c r="K355" s="20" t="inlineStr">
        <is>
          <t>I64108754</t>
        </is>
      </c>
      <c r="L355" s="22" t="n">
        <v>7.8</v>
      </c>
      <c r="M355" s="20">
        <f>IFERROR(LEFT(B355,SEARCH("_Rev",B355)-1),B355)</f>
        <v/>
      </c>
      <c r="N355" s="20">
        <f>IF(B355="","",IF(ISNUMBER(C355),IF(COUNTIFS($M$3:$M$1026,M355,$C$3:$C$1026,"&gt;"&amp;C355)=0,"CURRENT","SUPERSEDED"),"CURRENT"))</f>
        <v/>
      </c>
      <c r="O355" s="19" t="n"/>
    </row>
    <row r="356">
      <c r="A356" s="19" t="n"/>
      <c r="B356" s="20" t="inlineStr">
        <is>
          <t>4503-XH-DL-8631-8631-5114-CWR-02_Rev0</t>
        </is>
      </c>
      <c r="C356" s="21" t="n">
        <v>0</v>
      </c>
      <c r="D356" s="21" t="n">
        <v>46237</v>
      </c>
      <c r="E356" s="20" t="inlineStr">
        <is>
          <t>IFC-ISSUED FOR CONSTRUCTION</t>
        </is>
      </c>
      <c r="F356" s="21" t="n">
        <v>8631</v>
      </c>
      <c r="G356" s="20" t="inlineStr">
        <is>
          <t>PIPE B36.10/36.19 A333 6-SMLS BE BE</t>
        </is>
      </c>
      <c r="H356" s="20" t="inlineStr">
        <is>
          <t>A333</t>
        </is>
      </c>
      <c r="I356" s="22" t="n">
        <v>6</v>
      </c>
      <c r="J356" s="21" t="inlineStr">
        <is>
          <t>STD</t>
        </is>
      </c>
      <c r="K356" s="20" t="inlineStr">
        <is>
          <t>I63649156</t>
        </is>
      </c>
      <c r="L356" s="22" t="n">
        <v>0.2</v>
      </c>
      <c r="M356" s="20">
        <f>IFERROR(LEFT(B356,SEARCH("_Rev",B356)-1),B356)</f>
        <v/>
      </c>
      <c r="N356" s="20">
        <f>IF(B356="","",IF(ISNUMBER(C356),IF(COUNTIFS($M$3:$M$1026,M356,$C$3:$C$1026,"&gt;"&amp;C356)=0,"CURRENT","SUPERSEDED"),"CURRENT"))</f>
        <v/>
      </c>
      <c r="O356" s="19" t="n"/>
    </row>
    <row r="357">
      <c r="A357" s="19" t="n"/>
      <c r="B357" s="20" t="inlineStr">
        <is>
          <t>4503-XH-DL-8631-8631-5115-CWR-01_Rev0</t>
        </is>
      </c>
      <c r="C357" s="21" t="n">
        <v>0</v>
      </c>
      <c r="D357" s="21" t="n">
        <v>46237</v>
      </c>
      <c r="E357" s="20" t="inlineStr">
        <is>
          <t>IFC-ISSUED FOR CONSTRUCTION</t>
        </is>
      </c>
      <c r="F357" s="21" t="n">
        <v>8631</v>
      </c>
      <c r="G357" s="20" t="inlineStr">
        <is>
          <t>PIPE B36.10/36.19 A333 6-SMLS BE BE</t>
        </is>
      </c>
      <c r="H357" s="20" t="inlineStr">
        <is>
          <t>A333</t>
        </is>
      </c>
      <c r="I357" s="22" t="n">
        <v>10</v>
      </c>
      <c r="J357" s="21" t="inlineStr">
        <is>
          <t>STD</t>
        </is>
      </c>
      <c r="K357" s="20" t="inlineStr">
        <is>
          <t>I64108754</t>
        </is>
      </c>
      <c r="L357" s="22" t="n">
        <v>7.8</v>
      </c>
      <c r="M357" s="20">
        <f>IFERROR(LEFT(B357,SEARCH("_Rev",B357)-1),B357)</f>
        <v/>
      </c>
      <c r="N357" s="20">
        <f>IF(B357="","",IF(ISNUMBER(C357),IF(COUNTIFS($M$3:$M$1026,M357,$C$3:$C$1026,"&gt;"&amp;C357)=0,"CURRENT","SUPERSEDED"),"CURRENT"))</f>
        <v/>
      </c>
      <c r="O357" s="19" t="n"/>
    </row>
    <row r="358">
      <c r="A358" s="19" t="n"/>
      <c r="B358" s="20" t="inlineStr">
        <is>
          <t>4503-XH-DL-8631-8631-5115-CWR-02_Rev0</t>
        </is>
      </c>
      <c r="C358" s="21" t="n">
        <v>0</v>
      </c>
      <c r="D358" s="21" t="n">
        <v>46237</v>
      </c>
      <c r="E358" s="20" t="inlineStr">
        <is>
          <t>IFC-ISSUED FOR CONSTRUCTION</t>
        </is>
      </c>
      <c r="F358" s="21" t="n">
        <v>8631</v>
      </c>
      <c r="G358" s="20" t="inlineStr">
        <is>
          <t>PIPE B36.10/36.19 A333 6-SMLS BE BE</t>
        </is>
      </c>
      <c r="H358" s="20" t="inlineStr">
        <is>
          <t>A333</t>
        </is>
      </c>
      <c r="I358" s="22" t="n">
        <v>6</v>
      </c>
      <c r="J358" s="21" t="inlineStr">
        <is>
          <t>STD</t>
        </is>
      </c>
      <c r="K358" s="20" t="inlineStr">
        <is>
          <t>I63649156</t>
        </is>
      </c>
      <c r="L358" s="22" t="n">
        <v>0.2</v>
      </c>
      <c r="M358" s="20">
        <f>IFERROR(LEFT(B358,SEARCH("_Rev",B358)-1),B358)</f>
        <v/>
      </c>
      <c r="N358" s="20">
        <f>IF(B358="","",IF(ISNUMBER(C358),IF(COUNTIFS($M$3:$M$1026,M358,$C$3:$C$1026,"&gt;"&amp;C358)=0,"CURRENT","SUPERSEDED"),"CURRENT"))</f>
        <v/>
      </c>
      <c r="O358" s="19" t="n"/>
    </row>
    <row r="359">
      <c r="A359" s="19" t="n"/>
      <c r="B359" s="20" t="inlineStr">
        <is>
          <t>4503-XH-DL-8631-8631-5116-CWR-01_Rev0</t>
        </is>
      </c>
      <c r="C359" s="21" t="n">
        <v>0</v>
      </c>
      <c r="D359" s="21" t="n">
        <v>46237</v>
      </c>
      <c r="E359" s="20" t="inlineStr">
        <is>
          <t>IFC-ISSUED FOR CONSTRUCTION</t>
        </is>
      </c>
      <c r="F359" s="21" t="n">
        <v>8631</v>
      </c>
      <c r="G359" s="20" t="inlineStr">
        <is>
          <t>PIPE B36.10/36.19 A333 6-SMLS BE BE</t>
        </is>
      </c>
      <c r="H359" s="20" t="inlineStr">
        <is>
          <t>A333</t>
        </is>
      </c>
      <c r="I359" s="22" t="n">
        <v>10</v>
      </c>
      <c r="J359" s="21" t="inlineStr">
        <is>
          <t>STD</t>
        </is>
      </c>
      <c r="K359" s="20" t="inlineStr">
        <is>
          <t>I64108754</t>
        </is>
      </c>
      <c r="L359" s="22" t="n">
        <v>7.8</v>
      </c>
      <c r="M359" s="20">
        <f>IFERROR(LEFT(B359,SEARCH("_Rev",B359)-1),B359)</f>
        <v/>
      </c>
      <c r="N359" s="20">
        <f>IF(B359="","",IF(ISNUMBER(C359),IF(COUNTIFS($M$3:$M$1026,M359,$C$3:$C$1026,"&gt;"&amp;C359)=0,"CURRENT","SUPERSEDED"),"CURRENT"))</f>
        <v/>
      </c>
      <c r="O359" s="19" t="n"/>
    </row>
    <row r="360">
      <c r="A360" s="19" t="n"/>
      <c r="B360" s="20" t="inlineStr">
        <is>
          <t>4503-XH-DL-8631-8631-5116-CWR-02_Rev0</t>
        </is>
      </c>
      <c r="C360" s="21" t="n">
        <v>0</v>
      </c>
      <c r="D360" s="21" t="n">
        <v>46237</v>
      </c>
      <c r="E360" s="20" t="inlineStr">
        <is>
          <t>IFC-ISSUED FOR CONSTRUCTION</t>
        </is>
      </c>
      <c r="F360" s="21" t="n">
        <v>8631</v>
      </c>
      <c r="G360" s="20" t="inlineStr">
        <is>
          <t>PIPE B36.10/36.19 A333 6-SMLS BE BE</t>
        </is>
      </c>
      <c r="H360" s="20" t="inlineStr">
        <is>
          <t>A333</t>
        </is>
      </c>
      <c r="I360" s="22" t="n">
        <v>6</v>
      </c>
      <c r="J360" s="21" t="inlineStr">
        <is>
          <t>STD</t>
        </is>
      </c>
      <c r="K360" s="20" t="inlineStr">
        <is>
          <t>I63649156</t>
        </is>
      </c>
      <c r="L360" s="22" t="n">
        <v>0.2</v>
      </c>
      <c r="M360" s="20">
        <f>IFERROR(LEFT(B360,SEARCH("_Rev",B360)-1),B360)</f>
        <v/>
      </c>
      <c r="N360" s="20">
        <f>IF(B360="","",IF(ISNUMBER(C360),IF(COUNTIFS($M$3:$M$1026,M360,$C$3:$C$1026,"&gt;"&amp;C360)=0,"CURRENT","SUPERSEDED"),"CURRENT"))</f>
        <v/>
      </c>
      <c r="O360" s="19" t="n"/>
    </row>
    <row r="361">
      <c r="A361" s="19" t="n"/>
      <c r="B361" s="20" t="inlineStr">
        <is>
          <t>4503-XH-DL-8631-8631-5117-CWR-01_Rev0</t>
        </is>
      </c>
      <c r="C361" s="21" t="n">
        <v>0</v>
      </c>
      <c r="D361" s="21" t="n">
        <v>46237</v>
      </c>
      <c r="E361" s="20" t="inlineStr">
        <is>
          <t>IFC-ISSUED FOR CONSTRUCTION</t>
        </is>
      </c>
      <c r="F361" s="21" t="n">
        <v>8631</v>
      </c>
      <c r="G361" s="20" t="inlineStr">
        <is>
          <t>PIPE B36.10/36.19 A333 6-SMLS BE BE</t>
        </is>
      </c>
      <c r="H361" s="20" t="inlineStr">
        <is>
          <t>A333</t>
        </is>
      </c>
      <c r="I361" s="22" t="n">
        <v>10</v>
      </c>
      <c r="J361" s="21" t="inlineStr">
        <is>
          <t>STD</t>
        </is>
      </c>
      <c r="K361" s="20" t="inlineStr">
        <is>
          <t>I64108754</t>
        </is>
      </c>
      <c r="L361" s="22" t="n">
        <v>7.8</v>
      </c>
      <c r="M361" s="20">
        <f>IFERROR(LEFT(B361,SEARCH("_Rev",B361)-1),B361)</f>
        <v/>
      </c>
      <c r="N361" s="20">
        <f>IF(B361="","",IF(ISNUMBER(C361),IF(COUNTIFS($M$3:$M$1026,M361,$C$3:$C$1026,"&gt;"&amp;C361)=0,"CURRENT","SUPERSEDED"),"CURRENT"))</f>
        <v/>
      </c>
      <c r="O361" s="19" t="n"/>
    </row>
    <row r="362">
      <c r="A362" s="19" t="n"/>
      <c r="B362" s="20" t="inlineStr">
        <is>
          <t>4503-XH-DL-8631-8631-5117-CWR-02_Rev0</t>
        </is>
      </c>
      <c r="C362" s="21" t="n">
        <v>0</v>
      </c>
      <c r="D362" s="21" t="n">
        <v>46237</v>
      </c>
      <c r="E362" s="20" t="inlineStr">
        <is>
          <t>IFC-ISSUED FOR CONSTRUCTION</t>
        </is>
      </c>
      <c r="F362" s="21" t="n">
        <v>8631</v>
      </c>
      <c r="G362" s="20" t="inlineStr">
        <is>
          <t>PIPE B36.10/36.19 A333 6-SMLS BE BE</t>
        </is>
      </c>
      <c r="H362" s="20" t="inlineStr">
        <is>
          <t>A333</t>
        </is>
      </c>
      <c r="I362" s="22" t="n">
        <v>6</v>
      </c>
      <c r="J362" s="21" t="inlineStr">
        <is>
          <t>STD</t>
        </is>
      </c>
      <c r="K362" s="20" t="inlineStr">
        <is>
          <t>I63649156</t>
        </is>
      </c>
      <c r="L362" s="22" t="n">
        <v>0.2</v>
      </c>
      <c r="M362" s="20">
        <f>IFERROR(LEFT(B362,SEARCH("_Rev",B362)-1),B362)</f>
        <v/>
      </c>
      <c r="N362" s="20">
        <f>IF(B362="","",IF(ISNUMBER(C362),IF(COUNTIFS($M$3:$M$1026,M362,$C$3:$C$1026,"&gt;"&amp;C362)=0,"CURRENT","SUPERSEDED"),"CURRENT"))</f>
        <v/>
      </c>
      <c r="O362" s="19" t="n"/>
    </row>
    <row r="363">
      <c r="A363" s="19" t="n"/>
      <c r="B363" s="20" t="inlineStr">
        <is>
          <t>4503-XH-DL-8631-8631-5118-CWR-01_Rev0</t>
        </is>
      </c>
      <c r="C363" s="21" t="n">
        <v>0</v>
      </c>
      <c r="D363" s="21" t="n">
        <v>46237</v>
      </c>
      <c r="E363" s="20" t="inlineStr">
        <is>
          <t>IFC-ISSUED FOR CONSTRUCTION</t>
        </is>
      </c>
      <c r="F363" s="21" t="n">
        <v>8631</v>
      </c>
      <c r="G363" s="20" t="inlineStr">
        <is>
          <t>PIPE B36.10/36.19 A333 6-SMLS BE BE</t>
        </is>
      </c>
      <c r="H363" s="20" t="inlineStr">
        <is>
          <t>A333</t>
        </is>
      </c>
      <c r="I363" s="22" t="n">
        <v>10</v>
      </c>
      <c r="J363" s="21" t="inlineStr">
        <is>
          <t>STD</t>
        </is>
      </c>
      <c r="K363" s="20" t="inlineStr">
        <is>
          <t>I64108754</t>
        </is>
      </c>
      <c r="L363" s="22" t="n">
        <v>7.8</v>
      </c>
      <c r="M363" s="20">
        <f>IFERROR(LEFT(B363,SEARCH("_Rev",B363)-1),B363)</f>
        <v/>
      </c>
      <c r="N363" s="20">
        <f>IF(B363="","",IF(ISNUMBER(C363),IF(COUNTIFS($M$3:$M$1026,M363,$C$3:$C$1026,"&gt;"&amp;C363)=0,"CURRENT","SUPERSEDED"),"CURRENT"))</f>
        <v/>
      </c>
      <c r="O363" s="19" t="n"/>
    </row>
    <row r="364">
      <c r="A364" s="19" t="n"/>
      <c r="B364" s="20" t="inlineStr">
        <is>
          <t>4503-XH-DL-8631-8631-5118-CWR-02_Rev0</t>
        </is>
      </c>
      <c r="C364" s="21" t="n">
        <v>0</v>
      </c>
      <c r="D364" s="21" t="n">
        <v>46237</v>
      </c>
      <c r="E364" s="20" t="inlineStr">
        <is>
          <t>IFC-ISSUED FOR CONSTRUCTION</t>
        </is>
      </c>
      <c r="F364" s="21" t="n">
        <v>8631</v>
      </c>
      <c r="G364" s="20" t="inlineStr">
        <is>
          <t>PIPE B36.10/36.19 A333 6-SMLS BE BE</t>
        </is>
      </c>
      <c r="H364" s="20" t="inlineStr">
        <is>
          <t>A333</t>
        </is>
      </c>
      <c r="I364" s="22" t="n">
        <v>6</v>
      </c>
      <c r="J364" s="21" t="inlineStr">
        <is>
          <t>STD</t>
        </is>
      </c>
      <c r="K364" s="20" t="inlineStr">
        <is>
          <t>I63649156</t>
        </is>
      </c>
      <c r="L364" s="22" t="n">
        <v>0.2</v>
      </c>
      <c r="M364" s="20">
        <f>IFERROR(LEFT(B364,SEARCH("_Rev",B364)-1),B364)</f>
        <v/>
      </c>
      <c r="N364" s="20">
        <f>IF(B364="","",IF(ISNUMBER(C364),IF(COUNTIFS($M$3:$M$1026,M364,$C$3:$C$1026,"&gt;"&amp;C364)=0,"CURRENT","SUPERSEDED"),"CURRENT"))</f>
        <v/>
      </c>
      <c r="O364" s="19" t="n"/>
    </row>
    <row r="365">
      <c r="A365" s="19" t="n"/>
      <c r="B365" s="20" t="inlineStr">
        <is>
          <t>4503-XH-DL-8631-8631-5119-CWR-01_Rev0</t>
        </is>
      </c>
      <c r="C365" s="21" t="n">
        <v>0</v>
      </c>
      <c r="D365" s="21" t="n">
        <v>46237</v>
      </c>
      <c r="E365" s="20" t="inlineStr">
        <is>
          <t>IFC-ISSUED FOR CONSTRUCTION</t>
        </is>
      </c>
      <c r="F365" s="21" t="n">
        <v>8631</v>
      </c>
      <c r="G365" s="20" t="inlineStr">
        <is>
          <t>PIPE B36.10/36.19 A333 6-SMLS BE BE</t>
        </is>
      </c>
      <c r="H365" s="20" t="inlineStr">
        <is>
          <t>A333</t>
        </is>
      </c>
      <c r="I365" s="22" t="n">
        <v>10</v>
      </c>
      <c r="J365" s="21" t="inlineStr">
        <is>
          <t>STD</t>
        </is>
      </c>
      <c r="K365" s="20" t="inlineStr">
        <is>
          <t>I64108754</t>
        </is>
      </c>
      <c r="L365" s="22" t="n">
        <v>7.8</v>
      </c>
      <c r="M365" s="20">
        <f>IFERROR(LEFT(B365,SEARCH("_Rev",B365)-1),B365)</f>
        <v/>
      </c>
      <c r="N365" s="20">
        <f>IF(B365="","",IF(ISNUMBER(C365),IF(COUNTIFS($M$3:$M$1026,M365,$C$3:$C$1026,"&gt;"&amp;C365)=0,"CURRENT","SUPERSEDED"),"CURRENT"))</f>
        <v/>
      </c>
      <c r="O365" s="19" t="n"/>
    </row>
    <row r="366">
      <c r="A366" s="19" t="n"/>
      <c r="B366" s="20" t="inlineStr">
        <is>
          <t>4503-XH-DL-8631-8631-5119-CWR-02_Rev0</t>
        </is>
      </c>
      <c r="C366" s="21" t="n">
        <v>0</v>
      </c>
      <c r="D366" s="21" t="n">
        <v>46237</v>
      </c>
      <c r="E366" s="20" t="inlineStr">
        <is>
          <t>IFC-ISSUED FOR CONSTRUCTION</t>
        </is>
      </c>
      <c r="F366" s="21" t="n">
        <v>8631</v>
      </c>
      <c r="G366" s="20" t="inlineStr">
        <is>
          <t>PIPE B36.10/36.19 A333 6-SMLS BE BE</t>
        </is>
      </c>
      <c r="H366" s="20" t="inlineStr">
        <is>
          <t>A333</t>
        </is>
      </c>
      <c r="I366" s="22" t="n">
        <v>6</v>
      </c>
      <c r="J366" s="21" t="inlineStr">
        <is>
          <t>STD</t>
        </is>
      </c>
      <c r="K366" s="20" t="inlineStr">
        <is>
          <t>I63649156</t>
        </is>
      </c>
      <c r="L366" s="22" t="n">
        <v>0.2</v>
      </c>
      <c r="M366" s="20">
        <f>IFERROR(LEFT(B366,SEARCH("_Rev",B366)-1),B366)</f>
        <v/>
      </c>
      <c r="N366" s="20">
        <f>IF(B366="","",IF(ISNUMBER(C366),IF(COUNTIFS($M$3:$M$1026,M366,$C$3:$C$1026,"&gt;"&amp;C366)=0,"CURRENT","SUPERSEDED"),"CURRENT"))</f>
        <v/>
      </c>
      <c r="O366" s="19" t="n"/>
    </row>
    <row r="367">
      <c r="A367" s="19" t="n"/>
      <c r="B367" s="20" t="inlineStr">
        <is>
          <t>4503-XH-DL-8631-8631-5120-CWR-01_Rev0</t>
        </is>
      </c>
      <c r="C367" s="21" t="n">
        <v>0</v>
      </c>
      <c r="D367" s="21" t="n">
        <v>46237</v>
      </c>
      <c r="E367" s="20" t="inlineStr">
        <is>
          <t>IFC-ISSUED FOR CONSTRUCTION</t>
        </is>
      </c>
      <c r="F367" s="21" t="n">
        <v>8631</v>
      </c>
      <c r="G367" s="20" t="inlineStr">
        <is>
          <t>PIPE B36.10/36.19 A333 6-SMLS BE BE</t>
        </is>
      </c>
      <c r="H367" s="20" t="inlineStr">
        <is>
          <t>A333</t>
        </is>
      </c>
      <c r="I367" s="22" t="n">
        <v>10</v>
      </c>
      <c r="J367" s="21" t="inlineStr">
        <is>
          <t>STD</t>
        </is>
      </c>
      <c r="K367" s="20" t="inlineStr">
        <is>
          <t>I64108754</t>
        </is>
      </c>
      <c r="L367" s="22" t="n">
        <v>7.8</v>
      </c>
      <c r="M367" s="20">
        <f>IFERROR(LEFT(B367,SEARCH("_Rev",B367)-1),B367)</f>
        <v/>
      </c>
      <c r="N367" s="20">
        <f>IF(B367="","",IF(ISNUMBER(C367),IF(COUNTIFS($M$3:$M$1026,M367,$C$3:$C$1026,"&gt;"&amp;C367)=0,"CURRENT","SUPERSEDED"),"CURRENT"))</f>
        <v/>
      </c>
      <c r="O367" s="19" t="n"/>
    </row>
    <row r="368">
      <c r="A368" s="19" t="n"/>
      <c r="B368" s="20" t="inlineStr">
        <is>
          <t>4503-XH-DL-8631-8631-5120-CWR-02_Rev0</t>
        </is>
      </c>
      <c r="C368" s="21" t="n">
        <v>0</v>
      </c>
      <c r="D368" s="21" t="n">
        <v>46237</v>
      </c>
      <c r="E368" s="20" t="inlineStr">
        <is>
          <t>IFC-ISSUED FOR CONSTRUCTION</t>
        </is>
      </c>
      <c r="F368" s="21" t="n">
        <v>8631</v>
      </c>
      <c r="G368" s="20" t="inlineStr">
        <is>
          <t>PIPE B36.10/36.19 A333 6-SMLS BE BE</t>
        </is>
      </c>
      <c r="H368" s="20" t="inlineStr">
        <is>
          <t>A333</t>
        </is>
      </c>
      <c r="I368" s="22" t="n">
        <v>6</v>
      </c>
      <c r="J368" s="21" t="inlineStr">
        <is>
          <t>STD</t>
        </is>
      </c>
      <c r="K368" s="20" t="inlineStr">
        <is>
          <t>I63649156</t>
        </is>
      </c>
      <c r="L368" s="22" t="n">
        <v>0.2</v>
      </c>
      <c r="M368" s="20">
        <f>IFERROR(LEFT(B368,SEARCH("_Rev",B368)-1),B368)</f>
        <v/>
      </c>
      <c r="N368" s="20">
        <f>IF(B368="","",IF(ISNUMBER(C368),IF(COUNTIFS($M$3:$M$1026,M368,$C$3:$C$1026,"&gt;"&amp;C368)=0,"CURRENT","SUPERSEDED"),"CURRENT"))</f>
        <v/>
      </c>
      <c r="O368" s="19" t="n"/>
    </row>
    <row r="369">
      <c r="A369" s="19" t="n"/>
      <c r="B369" s="20" t="inlineStr">
        <is>
          <t>4503-XH-DL-8631-8631-5121-CWR-01_Rev0</t>
        </is>
      </c>
      <c r="C369" s="21" t="n">
        <v>0</v>
      </c>
      <c r="D369" s="21" t="n">
        <v>46237</v>
      </c>
      <c r="E369" s="20" t="inlineStr">
        <is>
          <t>IFC-ISSUED FOR CONSTRUCTION</t>
        </is>
      </c>
      <c r="F369" s="21" t="n">
        <v>8631</v>
      </c>
      <c r="G369" s="20" t="inlineStr">
        <is>
          <t>PIPE B36.10/36.19 A333 6-SMLS BE BE</t>
        </is>
      </c>
      <c r="H369" s="20" t="inlineStr">
        <is>
          <t>A333</t>
        </is>
      </c>
      <c r="I369" s="22" t="n">
        <v>10</v>
      </c>
      <c r="J369" s="21" t="inlineStr">
        <is>
          <t>STD</t>
        </is>
      </c>
      <c r="K369" s="20" t="inlineStr">
        <is>
          <t>I64108754</t>
        </is>
      </c>
      <c r="L369" s="22" t="n">
        <v>7.8</v>
      </c>
      <c r="M369" s="20">
        <f>IFERROR(LEFT(B369,SEARCH("_Rev",B369)-1),B369)</f>
        <v/>
      </c>
      <c r="N369" s="20">
        <f>IF(B369="","",IF(ISNUMBER(C369),IF(COUNTIFS($M$3:$M$1026,M369,$C$3:$C$1026,"&gt;"&amp;C369)=0,"CURRENT","SUPERSEDED"),"CURRENT"))</f>
        <v/>
      </c>
      <c r="O369" s="19" t="n"/>
    </row>
    <row r="370">
      <c r="A370" s="19" t="n"/>
      <c r="B370" s="20" t="inlineStr">
        <is>
          <t>4503-XH-DL-8631-8631-5121-CWR-02_Rev0</t>
        </is>
      </c>
      <c r="C370" s="21" t="n">
        <v>0</v>
      </c>
      <c r="D370" s="21" t="n">
        <v>46237</v>
      </c>
      <c r="E370" s="20" t="inlineStr">
        <is>
          <t>IFC-ISSUED FOR CONSTRUCTION</t>
        </is>
      </c>
      <c r="F370" s="21" t="n">
        <v>8631</v>
      </c>
      <c r="G370" s="20" t="inlineStr">
        <is>
          <t>PIPE B36.10/36.19 A333 6-SMLS BE BE</t>
        </is>
      </c>
      <c r="H370" s="20" t="inlineStr">
        <is>
          <t>A333</t>
        </is>
      </c>
      <c r="I370" s="22" t="n">
        <v>6</v>
      </c>
      <c r="J370" s="21" t="inlineStr">
        <is>
          <t>STD</t>
        </is>
      </c>
      <c r="K370" s="20" t="inlineStr">
        <is>
          <t>I63649156</t>
        </is>
      </c>
      <c r="L370" s="22" t="n">
        <v>0.2</v>
      </c>
      <c r="M370" s="20">
        <f>IFERROR(LEFT(B370,SEARCH("_Rev",B370)-1),B370)</f>
        <v/>
      </c>
      <c r="N370" s="20">
        <f>IF(B370="","",IF(ISNUMBER(C370),IF(COUNTIFS($M$3:$M$1026,M370,$C$3:$C$1026,"&gt;"&amp;C370)=0,"CURRENT","SUPERSEDED"),"CURRENT"))</f>
        <v/>
      </c>
      <c r="O370" s="19" t="n"/>
    </row>
    <row r="371">
      <c r="A371" s="19" t="n"/>
      <c r="B371" s="20" t="inlineStr">
        <is>
          <t>4503-XH-DL-8631-8631-5122-CWR-01_Rev0</t>
        </is>
      </c>
      <c r="C371" s="21" t="n">
        <v>0</v>
      </c>
      <c r="D371" s="21" t="n">
        <v>46237</v>
      </c>
      <c r="E371" s="20" t="inlineStr">
        <is>
          <t>IFC-ISSUED FOR CONSTRUCTION</t>
        </is>
      </c>
      <c r="F371" s="21" t="n">
        <v>8631</v>
      </c>
      <c r="G371" s="20" t="inlineStr">
        <is>
          <t>PIPE B36.10/36.19 A333 6-SMLS BE BE</t>
        </is>
      </c>
      <c r="H371" s="20" t="inlineStr">
        <is>
          <t>A333</t>
        </is>
      </c>
      <c r="I371" s="22" t="n">
        <v>10</v>
      </c>
      <c r="J371" s="21" t="inlineStr">
        <is>
          <t>STD</t>
        </is>
      </c>
      <c r="K371" s="20" t="inlineStr">
        <is>
          <t>I64108754</t>
        </is>
      </c>
      <c r="L371" s="22" t="n">
        <v>7.8</v>
      </c>
      <c r="M371" s="20">
        <f>IFERROR(LEFT(B371,SEARCH("_Rev",B371)-1),B371)</f>
        <v/>
      </c>
      <c r="N371" s="20">
        <f>IF(B371="","",IF(ISNUMBER(C371),IF(COUNTIFS($M$3:$M$1026,M371,$C$3:$C$1026,"&gt;"&amp;C371)=0,"CURRENT","SUPERSEDED"),"CURRENT"))</f>
        <v/>
      </c>
      <c r="O371" s="19" t="n"/>
    </row>
    <row r="372">
      <c r="A372" s="19" t="n"/>
      <c r="B372" s="20" t="inlineStr">
        <is>
          <t>4503-XH-DL-8631-8631-5122-CWR-02_Rev0</t>
        </is>
      </c>
      <c r="C372" s="21" t="n">
        <v>0</v>
      </c>
      <c r="D372" s="21" t="n">
        <v>46237</v>
      </c>
      <c r="E372" s="20" t="inlineStr">
        <is>
          <t>IFC-ISSUED FOR CONSTRUCTION</t>
        </is>
      </c>
      <c r="F372" s="21" t="n">
        <v>8631</v>
      </c>
      <c r="G372" s="20" t="inlineStr">
        <is>
          <t>PIPE B36.10/36.19 A333 6-SMLS BE BE</t>
        </is>
      </c>
      <c r="H372" s="20" t="inlineStr">
        <is>
          <t>A333</t>
        </is>
      </c>
      <c r="I372" s="22" t="n">
        <v>6</v>
      </c>
      <c r="J372" s="21" t="inlineStr">
        <is>
          <t>STD</t>
        </is>
      </c>
      <c r="K372" s="20" t="inlineStr">
        <is>
          <t>I63649156</t>
        </is>
      </c>
      <c r="L372" s="22" t="n">
        <v>0.2</v>
      </c>
      <c r="M372" s="20">
        <f>IFERROR(LEFT(B372,SEARCH("_Rev",B372)-1),B372)</f>
        <v/>
      </c>
      <c r="N372" s="20">
        <f>IF(B372="","",IF(ISNUMBER(C372),IF(COUNTIFS($M$3:$M$1026,M372,$C$3:$C$1026,"&gt;"&amp;C372)=0,"CURRENT","SUPERSEDED"),"CURRENT"))</f>
        <v/>
      </c>
      <c r="O372" s="19" t="n"/>
    </row>
    <row r="373">
      <c r="A373" s="19" t="n"/>
      <c r="B373" s="20" t="inlineStr">
        <is>
          <t>4503-XH-DL-8702-8770-5081-FL-01_Rev0</t>
        </is>
      </c>
      <c r="C373" s="21" t="n">
        <v>0</v>
      </c>
      <c r="D373" s="21" t="n">
        <v>46234</v>
      </c>
      <c r="E373" s="20" t="inlineStr">
        <is>
          <t>IFC - ISSUED FOR CONSTRUCTION</t>
        </is>
      </c>
      <c r="F373" s="21" t="n">
        <v>8702</v>
      </c>
      <c r="G373" s="20" t="inlineStr">
        <is>
          <t>PIPE B36.10/36.19 A333 6-SMLS BE BE</t>
        </is>
      </c>
      <c r="H373" s="20" t="inlineStr">
        <is>
          <t>A333</t>
        </is>
      </c>
      <c r="I373" s="22" t="n">
        <v>14</v>
      </c>
      <c r="J373" s="21" t="inlineStr">
        <is>
          <t>STD</t>
        </is>
      </c>
      <c r="K373" s="20" t="inlineStr">
        <is>
          <t>I63649172</t>
        </is>
      </c>
      <c r="L373" s="22" t="n">
        <v>21.9</v>
      </c>
      <c r="M373" s="20">
        <f>IFERROR(LEFT(B373,SEARCH("_Rev",B373)-1),B373)</f>
        <v/>
      </c>
      <c r="N373" s="20">
        <f>IF(B373="","",IF(ISNUMBER(C373),IF(COUNTIFS($M$3:$M$1026,M373,$C$3:$C$1026,"&gt;"&amp;C373)=0,"CURRENT","SUPERSEDED"),"CURRENT"))</f>
        <v/>
      </c>
      <c r="O373" s="19" t="n"/>
    </row>
    <row r="374">
      <c r="A374" s="19" t="n"/>
      <c r="B374" s="20" t="inlineStr">
        <is>
          <t>4503-XH-DL-8702-8770-5182-FL-01_Rev0</t>
        </is>
      </c>
      <c r="C374" s="21" t="n">
        <v>0</v>
      </c>
      <c r="D374" s="21" t="n">
        <v>46234</v>
      </c>
      <c r="E374" s="20" t="inlineStr">
        <is>
          <t>IFC - ISSUED FOR CONSTRUCTION</t>
        </is>
      </c>
      <c r="F374" s="21" t="n">
        <v>8702</v>
      </c>
      <c r="G374" s="20" t="inlineStr">
        <is>
          <t>PIPE B36.10/36.19 A333 6-SMLS BE BE</t>
        </is>
      </c>
      <c r="H374" s="20" t="inlineStr">
        <is>
          <t>A333</t>
        </is>
      </c>
      <c r="I374" s="22" t="n">
        <v>10</v>
      </c>
      <c r="J374" s="21" t="inlineStr">
        <is>
          <t>STD</t>
        </is>
      </c>
      <c r="K374" s="20" t="inlineStr">
        <is>
          <t>I64108754</t>
        </is>
      </c>
      <c r="L374" s="22" t="n">
        <v>22.7</v>
      </c>
      <c r="M374" s="20">
        <f>IFERROR(LEFT(B374,SEARCH("_Rev",B374)-1),B374)</f>
        <v/>
      </c>
      <c r="N374" s="20">
        <f>IF(B374="","",IF(ISNUMBER(C374),IF(COUNTIFS($M$3:$M$1026,M374,$C$3:$C$1026,"&gt;"&amp;C374)=0,"CURRENT","SUPERSEDED"),"CURRENT"))</f>
        <v/>
      </c>
      <c r="O374" s="19" t="n"/>
    </row>
    <row r="375">
      <c r="A375" s="19" t="n"/>
      <c r="B375" s="20" t="inlineStr">
        <is>
          <t>4503-XH-DL-8703-8776-5016-HE-01_Rev0</t>
        </is>
      </c>
      <c r="C375" s="21" t="n">
        <v>0</v>
      </c>
      <c r="D375" s="21" t="n">
        <v>46234</v>
      </c>
      <c r="E375" s="20" t="inlineStr">
        <is>
          <t>IFC-ISSUED FOR CONSTRUCTION</t>
        </is>
      </c>
      <c r="F375" s="21" t="n">
        <v>8703</v>
      </c>
      <c r="G375" s="20" t="inlineStr">
        <is>
          <t>PIPE B36.10/36.19 A333 6-SMLS BE BE</t>
        </is>
      </c>
      <c r="H375" s="20" t="inlineStr">
        <is>
          <t>A333</t>
        </is>
      </c>
      <c r="I375" s="22" t="n">
        <v>16</v>
      </c>
      <c r="J375" s="21" t="inlineStr">
        <is>
          <t>STD</t>
        </is>
      </c>
      <c r="K375" s="20" t="inlineStr">
        <is>
          <t>I65585719</t>
        </is>
      </c>
      <c r="L375" s="22" t="n">
        <v>0.8</v>
      </c>
      <c r="M375" s="20">
        <f>IFERROR(LEFT(B375,SEARCH("_Rev",B375)-1),B375)</f>
        <v/>
      </c>
      <c r="N375" s="20">
        <f>IF(B375="","",IF(ISNUMBER(C375),IF(COUNTIFS($M$3:$M$1026,M375,$C$3:$C$1026,"&gt;"&amp;C375)=0,"CURRENT","SUPERSEDED"),"CURRENT"))</f>
        <v/>
      </c>
      <c r="O375" s="19" t="n"/>
    </row>
    <row r="376">
      <c r="A376" s="19" t="n"/>
      <c r="B376" s="20" t="inlineStr">
        <is>
          <t>4503-XH-DL-8703-8776-5016-HE-01_Rev0</t>
        </is>
      </c>
      <c r="C376" s="21" t="n">
        <v>0</v>
      </c>
      <c r="D376" s="21" t="n">
        <v>46234</v>
      </c>
      <c r="E376" s="20" t="inlineStr">
        <is>
          <t>IFC-ISSUED FOR CONSTRUCTION</t>
        </is>
      </c>
      <c r="F376" s="21" t="n">
        <v>8703</v>
      </c>
      <c r="G376" s="20" t="inlineStr">
        <is>
          <t>PIPE B36.10/36.19 A333 6-SMLS BE BE</t>
        </is>
      </c>
      <c r="H376" s="20" t="inlineStr">
        <is>
          <t>A333</t>
        </is>
      </c>
      <c r="I376" s="22" t="n">
        <v>14</v>
      </c>
      <c r="J376" s="21" t="inlineStr">
        <is>
          <t>STD</t>
        </is>
      </c>
      <c r="K376" s="20" t="inlineStr">
        <is>
          <t>I63649172</t>
        </is>
      </c>
      <c r="L376" s="22" t="n">
        <v>12</v>
      </c>
      <c r="M376" s="20">
        <f>IFERROR(LEFT(B376,SEARCH("_Rev",B376)-1),B376)</f>
        <v/>
      </c>
      <c r="N376" s="20">
        <f>IF(B376="","",IF(ISNUMBER(C376),IF(COUNTIFS($M$3:$M$1026,M376,$C$3:$C$1026,"&gt;"&amp;C376)=0,"CURRENT","SUPERSEDED"),"CURRENT"))</f>
        <v/>
      </c>
      <c r="O376" s="19" t="n"/>
    </row>
    <row r="377">
      <c r="A377" s="19" t="n"/>
      <c r="B377" s="20" t="inlineStr">
        <is>
          <t>4503-XH-DL-8703-8776-5016-HE-01_Rev0</t>
        </is>
      </c>
      <c r="C377" s="21" t="n">
        <v>0</v>
      </c>
      <c r="D377" s="21" t="n">
        <v>46234</v>
      </c>
      <c r="E377" s="20" t="inlineStr">
        <is>
          <t>IFC-ISSUED FOR CONSTRUCTION</t>
        </is>
      </c>
      <c r="F377" s="21" t="n">
        <v>8703</v>
      </c>
      <c r="G377" s="20" t="inlineStr">
        <is>
          <t>PIPE B36.10/36.19 A333 6-SMLS PE PE</t>
        </is>
      </c>
      <c r="H377" s="20" t="inlineStr">
        <is>
          <t>A333</t>
        </is>
      </c>
      <c r="I377" s="22" t="n">
        <v>1</v>
      </c>
      <c r="J377" s="21" t="inlineStr">
        <is>
          <t>XS</t>
        </is>
      </c>
      <c r="K377" s="20" t="inlineStr">
        <is>
          <t>I63649231</t>
        </is>
      </c>
      <c r="L377" s="22" t="n">
        <v>0.1</v>
      </c>
      <c r="M377" s="20">
        <f>IFERROR(LEFT(B377,SEARCH("_Rev",B377)-1),B377)</f>
        <v/>
      </c>
      <c r="N377" s="20">
        <f>IF(B377="","",IF(ISNUMBER(C377),IF(COUNTIFS($M$3:$M$1026,M377,$C$3:$C$1026,"&gt;"&amp;C377)=0,"CURRENT","SUPERSEDED"),"CURRENT"))</f>
        <v/>
      </c>
      <c r="O377" s="19" t="n"/>
    </row>
    <row r="378">
      <c r="A378" s="19" t="n"/>
      <c r="B378" s="20" t="inlineStr">
        <is>
          <t>4503-XH-DL-8703-8776-5017-HE-01_Rev0</t>
        </is>
      </c>
      <c r="C378" s="21" t="n">
        <v>0</v>
      </c>
      <c r="D378" s="21" t="n">
        <v>46234</v>
      </c>
      <c r="E378" s="20" t="inlineStr">
        <is>
          <t>IFC-ISSUED FOR CONSTRUCTION</t>
        </is>
      </c>
      <c r="F378" s="21" t="n">
        <v>8703</v>
      </c>
      <c r="G378" s="20" t="inlineStr">
        <is>
          <t>PIPE B36.10/36.19 A333 6-SMLS BE BE</t>
        </is>
      </c>
      <c r="H378" s="20" t="inlineStr">
        <is>
          <t>A333</t>
        </is>
      </c>
      <c r="I378" s="22" t="n">
        <v>16</v>
      </c>
      <c r="J378" s="21" t="inlineStr">
        <is>
          <t>STD</t>
        </is>
      </c>
      <c r="K378" s="20" t="inlineStr">
        <is>
          <t>I65585719</t>
        </is>
      </c>
      <c r="L378" s="22" t="n">
        <v>5.3</v>
      </c>
      <c r="M378" s="20">
        <f>IFERROR(LEFT(B378,SEARCH("_Rev",B378)-1),B378)</f>
        <v/>
      </c>
      <c r="N378" s="20">
        <f>IF(B378="","",IF(ISNUMBER(C378),IF(COUNTIFS($M$3:$M$1026,M378,$C$3:$C$1026,"&gt;"&amp;C378)=0,"CURRENT","SUPERSEDED"),"CURRENT"))</f>
        <v/>
      </c>
      <c r="O378" s="19" t="n"/>
    </row>
    <row r="379">
      <c r="A379" s="19" t="n"/>
      <c r="B379" s="20" t="inlineStr">
        <is>
          <t>4503-XH-DL-8703-8776-5021-HE-01_Rev0</t>
        </is>
      </c>
      <c r="C379" s="21" t="n">
        <v>0</v>
      </c>
      <c r="D379" s="21" t="n">
        <v>46234</v>
      </c>
      <c r="E379" s="20" t="inlineStr">
        <is>
          <t>IFC-ISSUED FOR CONSTRUCTION</t>
        </is>
      </c>
      <c r="F379" s="21" t="n">
        <v>8703</v>
      </c>
      <c r="G379" s="20" t="inlineStr">
        <is>
          <t>PIPE B36.10/36.19 A333 6-SMLS BE BE</t>
        </is>
      </c>
      <c r="H379" s="20" t="inlineStr">
        <is>
          <t>A333</t>
        </is>
      </c>
      <c r="I379" s="22" t="n">
        <v>12</v>
      </c>
      <c r="J379" s="21" t="inlineStr">
        <is>
          <t>STD</t>
        </is>
      </c>
      <c r="K379" s="20" t="inlineStr">
        <is>
          <t>I64955933</t>
        </is>
      </c>
      <c r="L379" s="22" t="n">
        <v>1.6</v>
      </c>
      <c r="M379" s="20">
        <f>IFERROR(LEFT(B379,SEARCH("_Rev",B379)-1),B379)</f>
        <v/>
      </c>
      <c r="N379" s="20">
        <f>IF(B379="","",IF(ISNUMBER(C379),IF(COUNTIFS($M$3:$M$1026,M379,$C$3:$C$1026,"&gt;"&amp;C379)=0,"CURRENT","SUPERSEDED"),"CURRENT"))</f>
        <v/>
      </c>
      <c r="O379" s="19" t="n"/>
    </row>
    <row r="380">
      <c r="A380" s="19" t="n"/>
      <c r="B380" s="20" t="inlineStr">
        <is>
          <t>4503-XH-DL-8703-8776-5021-HE-01_Rev0</t>
        </is>
      </c>
      <c r="C380" s="21" t="n">
        <v>0</v>
      </c>
      <c r="D380" s="21" t="n">
        <v>46234</v>
      </c>
      <c r="E380" s="20" t="inlineStr">
        <is>
          <t>IFC-ISSUED FOR CONSTRUCTION</t>
        </is>
      </c>
      <c r="F380" s="21" t="n">
        <v>8703</v>
      </c>
      <c r="G380" s="20" t="inlineStr">
        <is>
          <t>PIPE B36.10/36.19 A333 6-SMLS BE BE</t>
        </is>
      </c>
      <c r="H380" s="20" t="inlineStr">
        <is>
          <t>A333</t>
        </is>
      </c>
      <c r="I380" s="22" t="n">
        <v>4</v>
      </c>
      <c r="J380" s="21" t="inlineStr">
        <is>
          <t>STD</t>
        </is>
      </c>
      <c r="K380" s="20" t="inlineStr">
        <is>
          <t>I63649186</t>
        </is>
      </c>
      <c r="L380" s="22" t="n">
        <v>1.9</v>
      </c>
      <c r="M380" s="20">
        <f>IFERROR(LEFT(B380,SEARCH("_Rev",B380)-1),B380)</f>
        <v/>
      </c>
      <c r="N380" s="20">
        <f>IF(B380="","",IF(ISNUMBER(C380),IF(COUNTIFS($M$3:$M$1026,M380,$C$3:$C$1026,"&gt;"&amp;C380)=0,"CURRENT","SUPERSEDED"),"CURRENT"))</f>
        <v/>
      </c>
      <c r="O380" s="19" t="n"/>
    </row>
    <row r="381">
      <c r="A381" s="19" t="n"/>
      <c r="B381" s="20" t="inlineStr">
        <is>
          <t>4503-XH-DL-8703-8776-5029-HE-01_Rev0</t>
        </is>
      </c>
      <c r="C381" s="21" t="n">
        <v>0</v>
      </c>
      <c r="D381" s="21" t="n">
        <v>46234</v>
      </c>
      <c r="E381" s="20" t="inlineStr">
        <is>
          <t>IFC-ISSUED FOR CONSTRUCTION</t>
        </is>
      </c>
      <c r="F381" s="21" t="n">
        <v>8703</v>
      </c>
      <c r="G381" s="20" t="inlineStr">
        <is>
          <t>PIPE B36.10/36.19 A333 6-SMLS BE BE</t>
        </is>
      </c>
      <c r="H381" s="20" t="inlineStr">
        <is>
          <t>A333</t>
        </is>
      </c>
      <c r="I381" s="22" t="n">
        <v>12</v>
      </c>
      <c r="J381" s="21" t="inlineStr">
        <is>
          <t>STD</t>
        </is>
      </c>
      <c r="K381" s="20" t="inlineStr">
        <is>
          <t>I64955933</t>
        </is>
      </c>
      <c r="L381" s="22" t="n">
        <v>1.4</v>
      </c>
      <c r="M381" s="20">
        <f>IFERROR(LEFT(B381,SEARCH("_Rev",B381)-1),B381)</f>
        <v/>
      </c>
      <c r="N381" s="20">
        <f>IF(B381="","",IF(ISNUMBER(C381),IF(COUNTIFS($M$3:$M$1026,M381,$C$3:$C$1026,"&gt;"&amp;C381)=0,"CURRENT","SUPERSEDED"),"CURRENT"))</f>
        <v/>
      </c>
      <c r="O381" s="19" t="n"/>
    </row>
    <row r="382">
      <c r="A382" s="19" t="n"/>
      <c r="B382" s="20" t="inlineStr">
        <is>
          <t>4503-XH-DL-8703-8776-5029-HE-01_Rev0</t>
        </is>
      </c>
      <c r="C382" s="21" t="n">
        <v>0</v>
      </c>
      <c r="D382" s="21" t="n">
        <v>46234</v>
      </c>
      <c r="E382" s="20" t="inlineStr">
        <is>
          <t>IFC-ISSUED FOR CONSTRUCTION</t>
        </is>
      </c>
      <c r="F382" s="21" t="n">
        <v>8703</v>
      </c>
      <c r="G382" s="20" t="inlineStr">
        <is>
          <t>PIPE B36.10/36.19 A333 6-SMLS BE BE</t>
        </is>
      </c>
      <c r="H382" s="20" t="inlineStr">
        <is>
          <t>A333</t>
        </is>
      </c>
      <c r="I382" s="22" t="n">
        <v>4</v>
      </c>
      <c r="J382" s="21" t="inlineStr">
        <is>
          <t>STD</t>
        </is>
      </c>
      <c r="K382" s="20" t="inlineStr">
        <is>
          <t>I63649186</t>
        </is>
      </c>
      <c r="L382" s="22" t="n">
        <v>1.6</v>
      </c>
      <c r="M382" s="20">
        <f>IFERROR(LEFT(B382,SEARCH("_Rev",B382)-1),B382)</f>
        <v/>
      </c>
      <c r="N382" s="20">
        <f>IF(B382="","",IF(ISNUMBER(C382),IF(COUNTIFS($M$3:$M$1026,M382,$C$3:$C$1026,"&gt;"&amp;C382)=0,"CURRENT","SUPERSEDED"),"CURRENT"))</f>
        <v/>
      </c>
      <c r="O382" s="19" t="n"/>
    </row>
    <row r="383">
      <c r="A383" s="19" t="n"/>
      <c r="B383" s="20" t="inlineStr">
        <is>
          <t>4503-XH-DL-8703-8776-5029-HE-02_Rev0</t>
        </is>
      </c>
      <c r="C383" s="21" t="n">
        <v>0</v>
      </c>
      <c r="D383" s="21" t="n">
        <v>46234</v>
      </c>
      <c r="E383" s="20" t="inlineStr">
        <is>
          <t>IFC-ISSUED FOR CONSTRUCTION</t>
        </is>
      </c>
      <c r="F383" s="21" t="n">
        <v>8703</v>
      </c>
      <c r="G383" s="20" t="inlineStr">
        <is>
          <t>PIPE B36.10/36.19 A333 6-SMLS BE BE</t>
        </is>
      </c>
      <c r="H383" s="20" t="inlineStr">
        <is>
          <t>A333</t>
        </is>
      </c>
      <c r="I383" s="22" t="n">
        <v>12</v>
      </c>
      <c r="J383" s="21" t="inlineStr">
        <is>
          <t>STD</t>
        </is>
      </c>
      <c r="K383" s="20" t="inlineStr">
        <is>
          <t>I64955933</t>
        </is>
      </c>
      <c r="L383" s="22" t="n">
        <v>1.5</v>
      </c>
      <c r="M383" s="20">
        <f>IFERROR(LEFT(B383,SEARCH("_Rev",B383)-1),B383)</f>
        <v/>
      </c>
      <c r="N383" s="20">
        <f>IF(B383="","",IF(ISNUMBER(C383),IF(COUNTIFS($M$3:$M$1026,M383,$C$3:$C$1026,"&gt;"&amp;C383)=0,"CURRENT","SUPERSEDED"),"CURRENT"))</f>
        <v/>
      </c>
      <c r="O383" s="19" t="n"/>
    </row>
    <row r="384">
      <c r="A384" s="19" t="n"/>
      <c r="B384" s="20" t="inlineStr">
        <is>
          <t>4503-XH-DL-8703-8776-5029-HE-02_Rev0</t>
        </is>
      </c>
      <c r="C384" s="21" t="n">
        <v>0</v>
      </c>
      <c r="D384" s="21" t="n">
        <v>46234</v>
      </c>
      <c r="E384" s="20" t="inlineStr">
        <is>
          <t>IFC-ISSUED FOR CONSTRUCTION</t>
        </is>
      </c>
      <c r="F384" s="21" t="n">
        <v>8703</v>
      </c>
      <c r="G384" s="20" t="inlineStr">
        <is>
          <t>PIPE B36.10/36.19 A333 6-SMLS BE BE</t>
        </is>
      </c>
      <c r="H384" s="20" t="inlineStr">
        <is>
          <t>A333</t>
        </is>
      </c>
      <c r="I384" s="22" t="n">
        <v>10</v>
      </c>
      <c r="J384" s="21" t="inlineStr">
        <is>
          <t>STD</t>
        </is>
      </c>
      <c r="K384" s="20" t="inlineStr">
        <is>
          <t>I64108754</t>
        </is>
      </c>
      <c r="L384" s="22" t="n">
        <v>0.4</v>
      </c>
      <c r="M384" s="20">
        <f>IFERROR(LEFT(B384,SEARCH("_Rev",B384)-1),B384)</f>
        <v/>
      </c>
      <c r="N384" s="20">
        <f>IF(B384="","",IF(ISNUMBER(C384),IF(COUNTIFS($M$3:$M$1026,M384,$C$3:$C$1026,"&gt;"&amp;C384)=0,"CURRENT","SUPERSEDED"),"CURRENT"))</f>
        <v/>
      </c>
      <c r="O384" s="19" t="n"/>
    </row>
    <row r="385">
      <c r="A385" s="19" t="n"/>
      <c r="B385" s="20" t="inlineStr">
        <is>
          <t>4503-XH-DL-8703-8776-5029-HE-02_Rev0</t>
        </is>
      </c>
      <c r="C385" s="21" t="n">
        <v>0</v>
      </c>
      <c r="D385" s="21" t="n">
        <v>46234</v>
      </c>
      <c r="E385" s="20" t="inlineStr">
        <is>
          <t>IFC-ISSUED FOR CONSTRUCTION</t>
        </is>
      </c>
      <c r="F385" s="21" t="n">
        <v>8703</v>
      </c>
      <c r="G385" s="20" t="inlineStr">
        <is>
          <t>PIPE B36.10/36.19 A333 6-SMLS PE PE</t>
        </is>
      </c>
      <c r="H385" s="20" t="inlineStr">
        <is>
          <t>A333</t>
        </is>
      </c>
      <c r="I385" s="22" t="n">
        <v>1</v>
      </c>
      <c r="J385" s="21" t="inlineStr">
        <is>
          <t>XS</t>
        </is>
      </c>
      <c r="K385" s="20" t="inlineStr">
        <is>
          <t>I63649231</t>
        </is>
      </c>
      <c r="L385" s="22" t="n">
        <v>1.1</v>
      </c>
      <c r="M385" s="20">
        <f>IFERROR(LEFT(B385,SEARCH("_Rev",B385)-1),B385)</f>
        <v/>
      </c>
      <c r="N385" s="20">
        <f>IF(B385="","",IF(ISNUMBER(C385),IF(COUNTIFS($M$3:$M$1026,M385,$C$3:$C$1026,"&gt;"&amp;C385)=0,"CURRENT","SUPERSEDED"),"CURRENT"))</f>
        <v/>
      </c>
      <c r="O385" s="19" t="n"/>
    </row>
    <row r="386">
      <c r="A386" s="19" t="n"/>
      <c r="B386" s="20" t="inlineStr">
        <is>
          <t>4503-XH-DL-8703-8776-5029-HE-02_Rev0</t>
        </is>
      </c>
      <c r="C386" s="21" t="n">
        <v>0</v>
      </c>
      <c r="D386" s="21" t="n">
        <v>46234</v>
      </c>
      <c r="E386" s="20" t="inlineStr">
        <is>
          <t>IFC-ISSUED FOR CONSTRUCTION</t>
        </is>
      </c>
      <c r="F386" s="21" t="n">
        <v>8703</v>
      </c>
      <c r="G386" s="20" t="inlineStr">
        <is>
          <t>PIPE B36.10/36.19 A333 6-SMLS PE PE</t>
        </is>
      </c>
      <c r="H386" s="20" t="inlineStr">
        <is>
          <t>A333</t>
        </is>
      </c>
      <c r="I386" s="22" t="n"/>
      <c r="J386" s="21" t="inlineStr">
        <is>
          <t>XS</t>
        </is>
      </c>
      <c r="K386" s="20" t="inlineStr">
        <is>
          <t>I63649256</t>
        </is>
      </c>
      <c r="L386" s="22" t="n">
        <v>0.2</v>
      </c>
      <c r="M386" s="20">
        <f>IFERROR(LEFT(B386,SEARCH("_Rev",B386)-1),B386)</f>
        <v/>
      </c>
      <c r="N386" s="20">
        <f>IF(B386="","",IF(ISNUMBER(C386),IF(COUNTIFS($M$3:$M$1026,M386,$C$3:$C$1026,"&gt;"&amp;C386)=0,"CURRENT","SUPERSEDED"),"CURRENT"))</f>
        <v/>
      </c>
      <c r="O386" s="19" t="n"/>
    </row>
    <row r="387">
      <c r="A387" s="19" t="n"/>
      <c r="B387" s="20" t="inlineStr">
        <is>
          <t>4503-XH-DL-8703-8776-5029-HE-03_Rev0</t>
        </is>
      </c>
      <c r="C387" s="21" t="n">
        <v>0</v>
      </c>
      <c r="D387" s="21" t="n">
        <v>46234</v>
      </c>
      <c r="E387" s="20" t="inlineStr">
        <is>
          <t>IFC-ISSUED FOR CONSTRUCTION</t>
        </is>
      </c>
      <c r="F387" s="21" t="n">
        <v>8703</v>
      </c>
      <c r="G387" s="20" t="inlineStr">
        <is>
          <t>PIPE B36.10/36.19 A333 6-SMLS BE BE</t>
        </is>
      </c>
      <c r="H387" s="20" t="inlineStr">
        <is>
          <t>A333</t>
        </is>
      </c>
      <c r="I387" s="22" t="n">
        <v>12</v>
      </c>
      <c r="J387" s="21" t="inlineStr">
        <is>
          <t>STD</t>
        </is>
      </c>
      <c r="K387" s="20" t="inlineStr">
        <is>
          <t>I64955933</t>
        </is>
      </c>
      <c r="L387" s="22" t="n">
        <v>8.4</v>
      </c>
      <c r="M387" s="20">
        <f>IFERROR(LEFT(B387,SEARCH("_Rev",B387)-1),B387)</f>
        <v/>
      </c>
      <c r="N387" s="20">
        <f>IF(B387="","",IF(ISNUMBER(C387),IF(COUNTIFS($M$3:$M$1026,M387,$C$3:$C$1026,"&gt;"&amp;C387)=0,"CURRENT","SUPERSEDED"),"CURRENT"))</f>
        <v/>
      </c>
      <c r="O387" s="19" t="n"/>
    </row>
    <row r="388">
      <c r="A388" s="19" t="n"/>
      <c r="B388" s="20" t="inlineStr">
        <is>
          <t>4503-XH-DL-8703-8776-5029-HE-03_Rev0</t>
        </is>
      </c>
      <c r="C388" s="21" t="n">
        <v>0</v>
      </c>
      <c r="D388" s="21" t="n">
        <v>46234</v>
      </c>
      <c r="E388" s="20" t="inlineStr">
        <is>
          <t>IFC-ISSUED FOR CONSTRUCTION</t>
        </is>
      </c>
      <c r="F388" s="21" t="n">
        <v>8703</v>
      </c>
      <c r="G388" s="20" t="inlineStr">
        <is>
          <t>PIPE B36.10/36.19 A333 6-SMLS PE PE</t>
        </is>
      </c>
      <c r="H388" s="20" t="inlineStr">
        <is>
          <t>A333</t>
        </is>
      </c>
      <c r="I388" s="22" t="n">
        <v>1</v>
      </c>
      <c r="J388" s="21" t="inlineStr">
        <is>
          <t>XS</t>
        </is>
      </c>
      <c r="K388" s="20" t="inlineStr">
        <is>
          <t>I63649231</t>
        </is>
      </c>
      <c r="L388" s="22" t="n">
        <v>0.1</v>
      </c>
      <c r="M388" s="20">
        <f>IFERROR(LEFT(B388,SEARCH("_Rev",B388)-1),B388)</f>
        <v/>
      </c>
      <c r="N388" s="20">
        <f>IF(B388="","",IF(ISNUMBER(C388),IF(COUNTIFS($M$3:$M$1026,M388,$C$3:$C$1026,"&gt;"&amp;C388)=0,"CURRENT","SUPERSEDED"),"CURRENT"))</f>
        <v/>
      </c>
      <c r="O388" s="19" t="n"/>
    </row>
    <row r="389">
      <c r="A389" s="19" t="n"/>
      <c r="B389" s="20" t="inlineStr">
        <is>
          <t>4503-XH-DL-8703-8776-5122-HE-01_Rev0</t>
        </is>
      </c>
      <c r="C389" s="21" t="n">
        <v>0</v>
      </c>
      <c r="D389" s="21" t="n">
        <v>46234</v>
      </c>
      <c r="E389" s="20" t="inlineStr">
        <is>
          <t>IFC-ISSUED FOR CONSTRUCTION</t>
        </is>
      </c>
      <c r="F389" s="21" t="n">
        <v>8703</v>
      </c>
      <c r="G389" s="20" t="inlineStr">
        <is>
          <t>PIPE B36.10/36.19 A333 6-SMLS BE BE</t>
        </is>
      </c>
      <c r="H389" s="20" t="inlineStr">
        <is>
          <t>A333</t>
        </is>
      </c>
      <c r="I389" s="22" t="n">
        <v>12</v>
      </c>
      <c r="J389" s="21" t="inlineStr">
        <is>
          <t>STD</t>
        </is>
      </c>
      <c r="K389" s="20" t="inlineStr">
        <is>
          <t>I64955933</t>
        </is>
      </c>
      <c r="L389" s="22" t="n">
        <v>1.4</v>
      </c>
      <c r="M389" s="20">
        <f>IFERROR(LEFT(B389,SEARCH("_Rev",B389)-1),B389)</f>
        <v/>
      </c>
      <c r="N389" s="20">
        <f>IF(B389="","",IF(ISNUMBER(C389),IF(COUNTIFS($M$3:$M$1026,M389,$C$3:$C$1026,"&gt;"&amp;C389)=0,"CURRENT","SUPERSEDED"),"CURRENT"))</f>
        <v/>
      </c>
      <c r="O389" s="19" t="n"/>
    </row>
    <row r="390">
      <c r="A390" s="19" t="n"/>
      <c r="B390" s="20" t="inlineStr">
        <is>
          <t>4503-XH-DL-8703-8776-5122-HE-01_Rev0</t>
        </is>
      </c>
      <c r="C390" s="21" t="n">
        <v>0</v>
      </c>
      <c r="D390" s="21" t="n">
        <v>46234</v>
      </c>
      <c r="E390" s="20" t="inlineStr">
        <is>
          <t>IFC-ISSUED FOR CONSTRUCTION</t>
        </is>
      </c>
      <c r="F390" s="21" t="n">
        <v>8703</v>
      </c>
      <c r="G390" s="20" t="inlineStr">
        <is>
          <t>PIPE B36.10/36.19 A333 6-SMLS BE BE</t>
        </is>
      </c>
      <c r="H390" s="20" t="inlineStr">
        <is>
          <t>A333</t>
        </is>
      </c>
      <c r="I390" s="22" t="n">
        <v>4</v>
      </c>
      <c r="J390" s="21" t="inlineStr">
        <is>
          <t>STD</t>
        </is>
      </c>
      <c r="K390" s="20" t="inlineStr">
        <is>
          <t>I63649186</t>
        </is>
      </c>
      <c r="L390" s="22" t="n">
        <v>1.8</v>
      </c>
      <c r="M390" s="20">
        <f>IFERROR(LEFT(B390,SEARCH("_Rev",B390)-1),B390)</f>
        <v/>
      </c>
      <c r="N390" s="20">
        <f>IF(B390="","",IF(ISNUMBER(C390),IF(COUNTIFS($M$3:$M$1026,M390,$C$3:$C$1026,"&gt;"&amp;C390)=0,"CURRENT","SUPERSEDED"),"CURRENT"))</f>
        <v/>
      </c>
      <c r="O390" s="19" t="n"/>
    </row>
    <row r="391">
      <c r="A391" s="19" t="n"/>
      <c r="B391" s="20" t="inlineStr">
        <is>
          <t>4503-XH-DL-8792-8770-5081-FL-02_Rev0</t>
        </is>
      </c>
      <c r="C391" s="21" t="n">
        <v>0</v>
      </c>
      <c r="D391" s="21" t="n">
        <v>46234</v>
      </c>
      <c r="E391" s="20" t="inlineStr">
        <is>
          <t>IFC - ISSUED FOR CONSTRUCTION</t>
        </is>
      </c>
      <c r="F391" s="21" t="n">
        <v>8792</v>
      </c>
      <c r="G391" s="20" t="inlineStr">
        <is>
          <t>PIPE B36.10/36.19 A333 6-SMLS BE BE</t>
        </is>
      </c>
      <c r="H391" s="20" t="inlineStr">
        <is>
          <t>A333</t>
        </is>
      </c>
      <c r="I391" s="22" t="n">
        <v>14</v>
      </c>
      <c r="J391" s="21" t="inlineStr">
        <is>
          <t>STD</t>
        </is>
      </c>
      <c r="K391" s="20" t="inlineStr">
        <is>
          <t>I63649172</t>
        </is>
      </c>
      <c r="L391" s="22" t="n">
        <v>79.09999999999999</v>
      </c>
      <c r="M391" s="20">
        <f>IFERROR(LEFT(B391,SEARCH("_Rev",B391)-1),B391)</f>
        <v/>
      </c>
      <c r="N391" s="20">
        <f>IF(B391="","",IF(ISNUMBER(C391),IF(COUNTIFS($M$3:$M$1026,M391,$C$3:$C$1026,"&gt;"&amp;C391)=0,"CURRENT","SUPERSEDED"),"CURRENT"))</f>
        <v/>
      </c>
      <c r="O391" s="19" t="n"/>
    </row>
    <row r="392">
      <c r="A392" s="19" t="n"/>
      <c r="B392" s="20" t="inlineStr">
        <is>
          <t>4503-XH-DL-8793-8776-5003-HE-01_Rev0</t>
        </is>
      </c>
      <c r="C392" s="21" t="n">
        <v>0</v>
      </c>
      <c r="D392" s="21" t="n">
        <v>46234</v>
      </c>
      <c r="E392" s="20" t="inlineStr">
        <is>
          <t>IFC-ISSUED FOR CONSTRUCTION</t>
        </is>
      </c>
      <c r="F392" s="21" t="n">
        <v>8793</v>
      </c>
      <c r="G392" s="20" t="inlineStr">
        <is>
          <t>PIPE B36.10/36.19 A333 6-SMLS BE BE</t>
        </is>
      </c>
      <c r="H392" s="20" t="inlineStr">
        <is>
          <t>A333</t>
        </is>
      </c>
      <c r="I392" s="22" t="n">
        <v>16</v>
      </c>
      <c r="J392" s="21" t="inlineStr">
        <is>
          <t>STD</t>
        </is>
      </c>
      <c r="K392" s="20" t="inlineStr">
        <is>
          <t>I65585719</t>
        </is>
      </c>
      <c r="L392" s="22" t="n">
        <v>1.5</v>
      </c>
      <c r="M392" s="20">
        <f>IFERROR(LEFT(B392,SEARCH("_Rev",B392)-1),B392)</f>
        <v/>
      </c>
      <c r="N392" s="20">
        <f>IF(B392="","",IF(ISNUMBER(C392),IF(COUNTIFS($M$3:$M$1026,M392,$C$3:$C$1026,"&gt;"&amp;C392)=0,"CURRENT","SUPERSEDED"),"CURRENT"))</f>
        <v/>
      </c>
      <c r="O392" s="19" t="n"/>
    </row>
    <row r="393">
      <c r="A393" s="19" t="n"/>
      <c r="B393" s="20" t="inlineStr">
        <is>
          <t>4503-XH-DL-8793-8776-5017-HE-01_Rev0</t>
        </is>
      </c>
      <c r="C393" s="21" t="n">
        <v>0</v>
      </c>
      <c r="D393" s="21" t="n">
        <v>46234</v>
      </c>
      <c r="E393" s="20" t="inlineStr">
        <is>
          <t>IFC-ISSUED FOR CONSTRUCTION</t>
        </is>
      </c>
      <c r="F393" s="21" t="n">
        <v>8793</v>
      </c>
      <c r="G393" s="20" t="inlineStr">
        <is>
          <t>PIPE B36.10/36.19 A333 6-SMLS BE BE</t>
        </is>
      </c>
      <c r="H393" s="20" t="inlineStr">
        <is>
          <t>A333</t>
        </is>
      </c>
      <c r="I393" s="22" t="n">
        <v>16</v>
      </c>
      <c r="J393" s="21" t="inlineStr">
        <is>
          <t>STD</t>
        </is>
      </c>
      <c r="K393" s="20" t="inlineStr">
        <is>
          <t>I65585719</t>
        </is>
      </c>
      <c r="L393" s="22" t="n">
        <v>30</v>
      </c>
      <c r="M393" s="20">
        <f>IFERROR(LEFT(B393,SEARCH("_Rev",B393)-1),B393)</f>
        <v/>
      </c>
      <c r="N393" s="20">
        <f>IF(B393="","",IF(ISNUMBER(C393),IF(COUNTIFS($M$3:$M$1026,M393,$C$3:$C$1026,"&gt;"&amp;C393)=0,"CURRENT","SUPERSEDED"),"CURRENT"))</f>
        <v/>
      </c>
      <c r="O393" s="19" t="n"/>
    </row>
    <row r="394">
      <c r="A394" s="19" t="n"/>
      <c r="B394" s="20" t="inlineStr">
        <is>
          <t>4503-XH-DL-8793-8776-5021-HE-01_Rev0</t>
        </is>
      </c>
      <c r="C394" s="21" t="n">
        <v>0</v>
      </c>
      <c r="D394" s="21" t="n">
        <v>46234</v>
      </c>
      <c r="E394" s="20" t="inlineStr">
        <is>
          <t>IFC-ISSUED FOR CONSTRUCTION</t>
        </is>
      </c>
      <c r="F394" s="21" t="n">
        <v>8793</v>
      </c>
      <c r="G394" s="20" t="inlineStr">
        <is>
          <t>PIPE B36.10/36.19 A333 6-SMLS BE BE</t>
        </is>
      </c>
      <c r="H394" s="20" t="inlineStr">
        <is>
          <t>A333</t>
        </is>
      </c>
      <c r="I394" s="22" t="n">
        <v>12</v>
      </c>
      <c r="J394" s="21" t="inlineStr">
        <is>
          <t>STD</t>
        </is>
      </c>
      <c r="K394" s="20" t="inlineStr">
        <is>
          <t>I64955933</t>
        </is>
      </c>
      <c r="L394" s="22" t="n">
        <v>3</v>
      </c>
      <c r="M394" s="20">
        <f>IFERROR(LEFT(B394,SEARCH("_Rev",B394)-1),B394)</f>
        <v/>
      </c>
      <c r="N394" s="20">
        <f>IF(B394="","",IF(ISNUMBER(C394),IF(COUNTIFS($M$3:$M$1026,M394,$C$3:$C$1026,"&gt;"&amp;C394)=0,"CURRENT","SUPERSEDED"),"CURRENT"))</f>
        <v/>
      </c>
      <c r="O394" s="19" t="n"/>
    </row>
    <row r="395">
      <c r="A395" s="19" t="n"/>
      <c r="B395" s="20" t="inlineStr">
        <is>
          <t>4503-XH-DL-8793-8776-5029-HE-01_Rev0</t>
        </is>
      </c>
      <c r="C395" s="21" t="n">
        <v>0</v>
      </c>
      <c r="D395" s="21" t="n">
        <v>46234</v>
      </c>
      <c r="E395" s="20" t="inlineStr">
        <is>
          <t>IFC-ISSUED FOR CONSTRUCTION</t>
        </is>
      </c>
      <c r="F395" s="21" t="n">
        <v>8793</v>
      </c>
      <c r="G395" s="20" t="inlineStr">
        <is>
          <t>PIPE B36.10/36.19 A333 6-SMLS BE BE</t>
        </is>
      </c>
      <c r="H395" s="20" t="inlineStr">
        <is>
          <t>A333</t>
        </is>
      </c>
      <c r="I395" s="22" t="n">
        <v>12</v>
      </c>
      <c r="J395" s="21" t="inlineStr">
        <is>
          <t>STD</t>
        </is>
      </c>
      <c r="K395" s="20" t="inlineStr">
        <is>
          <t>I64955933</t>
        </is>
      </c>
      <c r="L395" s="22" t="n">
        <v>46.5</v>
      </c>
      <c r="M395" s="20">
        <f>IFERROR(LEFT(B395,SEARCH("_Rev",B395)-1),B395)</f>
        <v/>
      </c>
      <c r="N395" s="20">
        <f>IF(B395="","",IF(ISNUMBER(C395),IF(COUNTIFS($M$3:$M$1026,M395,$C$3:$C$1026,"&gt;"&amp;C395)=0,"CURRENT","SUPERSEDED"),"CURRENT"))</f>
        <v/>
      </c>
      <c r="O395" s="19" t="n"/>
    </row>
    <row r="396">
      <c r="A396" s="19" t="n"/>
      <c r="B396" s="20" t="inlineStr">
        <is>
          <t>4503-XH-DL-8793-8776-5044-HE-01_Rev0</t>
        </is>
      </c>
      <c r="C396" s="21" t="n">
        <v>0</v>
      </c>
      <c r="D396" s="21" t="n">
        <v>46234</v>
      </c>
      <c r="E396" s="20" t="inlineStr">
        <is>
          <t>IFC-ISSUED FOR CONSTRUCTION</t>
        </is>
      </c>
      <c r="F396" s="21" t="n">
        <v>8793</v>
      </c>
      <c r="G396" s="20" t="inlineStr">
        <is>
          <t>PIPE B36.10/36.19 A333 6-SMLS BE BE</t>
        </is>
      </c>
      <c r="H396" s="20" t="inlineStr">
        <is>
          <t>A333</t>
        </is>
      </c>
      <c r="I396" s="22" t="n">
        <v>16</v>
      </c>
      <c r="J396" s="21" t="inlineStr">
        <is>
          <t>STD</t>
        </is>
      </c>
      <c r="K396" s="20" t="inlineStr">
        <is>
          <t>I65585719</t>
        </is>
      </c>
      <c r="L396" s="22" t="n">
        <v>25</v>
      </c>
      <c r="M396" s="20">
        <f>IFERROR(LEFT(B396,SEARCH("_Rev",B396)-1),B396)</f>
        <v/>
      </c>
      <c r="N396" s="20">
        <f>IF(B396="","",IF(ISNUMBER(C396),IF(COUNTIFS($M$3:$M$1026,M396,$C$3:$C$1026,"&gt;"&amp;C396)=0,"CURRENT","SUPERSEDED"),"CURRENT"))</f>
        <v/>
      </c>
      <c r="O396" s="19" t="n"/>
    </row>
    <row r="397">
      <c r="A397" s="19" t="n"/>
      <c r="B397" s="20" t="inlineStr">
        <is>
          <t>4503-XH-DL-8793-8776-5122-HE-01_Rev0</t>
        </is>
      </c>
      <c r="C397" s="21" t="n">
        <v>0</v>
      </c>
      <c r="D397" s="21" t="n">
        <v>46234</v>
      </c>
      <c r="E397" s="20" t="inlineStr">
        <is>
          <t>IFC-ISSUED FOR CONSTRUCTION</t>
        </is>
      </c>
      <c r="F397" s="21" t="n">
        <v>8793</v>
      </c>
      <c r="G397" s="20" t="inlineStr">
        <is>
          <t>PIPE B36.10/36.19 A333 6-SMLS BE BE</t>
        </is>
      </c>
      <c r="H397" s="20" t="inlineStr">
        <is>
          <t>A333</t>
        </is>
      </c>
      <c r="I397" s="22" t="n">
        <v>12</v>
      </c>
      <c r="J397" s="21" t="inlineStr">
        <is>
          <t>STD</t>
        </is>
      </c>
      <c r="K397" s="20" t="inlineStr">
        <is>
          <t>I64955933</t>
        </is>
      </c>
      <c r="L397" s="22" t="n">
        <v>3</v>
      </c>
      <c r="M397" s="20">
        <f>IFERROR(LEFT(B397,SEARCH("_Rev",B397)-1),B397)</f>
        <v/>
      </c>
      <c r="N397" s="20">
        <f>IF(B397="","",IF(ISNUMBER(C397),IF(COUNTIFS($M$3:$M$1026,M397,$C$3:$C$1026,"&gt;"&amp;C397)=0,"CURRENT","SUPERSEDED"),"CURRENT"))</f>
        <v/>
      </c>
      <c r="O397" s="19" t="n"/>
    </row>
    <row r="398">
      <c r="A398" s="19" t="n"/>
      <c r="B398" s="20" t="inlineStr">
        <is>
          <t>4503-XH-DL-8795-8770-5022-FL-01_Rev0</t>
        </is>
      </c>
      <c r="C398" s="21" t="n">
        <v>0</v>
      </c>
      <c r="D398" s="21" t="n">
        <v>46234</v>
      </c>
      <c r="E398" s="20" t="inlineStr">
        <is>
          <t>IFC-ISSUED FOR CONSTRUCTION</t>
        </is>
      </c>
      <c r="F398" s="21" t="n">
        <v>8795</v>
      </c>
      <c r="G398" s="20" t="inlineStr">
        <is>
          <t>PIPE B36.10/36.19 A333 6-SMLS BE BE</t>
        </is>
      </c>
      <c r="H398" s="20" t="inlineStr">
        <is>
          <t>A333</t>
        </is>
      </c>
      <c r="I398" s="22" t="n">
        <v>14</v>
      </c>
      <c r="J398" s="21" t="inlineStr">
        <is>
          <t>STD</t>
        </is>
      </c>
      <c r="K398" s="20" t="inlineStr">
        <is>
          <t>I63649172</t>
        </is>
      </c>
      <c r="L398" s="22" t="n">
        <v>11.5</v>
      </c>
      <c r="M398" s="20">
        <f>IFERROR(LEFT(B398,SEARCH("_Rev",B398)-1),B398)</f>
        <v/>
      </c>
      <c r="N398" s="20">
        <f>IF(B398="","",IF(ISNUMBER(C398),IF(COUNTIFS($M$3:$M$1026,M398,$C$3:$C$1026,"&gt;"&amp;C398)=0,"CURRENT","SUPERSEDED"),"CURRENT"))</f>
        <v/>
      </c>
      <c r="O398" s="19" t="n"/>
    </row>
    <row r="399">
      <c r="A399" s="19" t="n"/>
      <c r="B399" s="20" t="inlineStr">
        <is>
          <t>4503-XH-DL-8795-8770-5022-FL-02_Rev0</t>
        </is>
      </c>
      <c r="C399" s="21" t="n">
        <v>0</v>
      </c>
      <c r="D399" s="21" t="n">
        <v>46234</v>
      </c>
      <c r="E399" s="20" t="inlineStr">
        <is>
          <t>IFC-ISSUED FOR CONSTRUCTION</t>
        </is>
      </c>
      <c r="F399" s="21" t="n">
        <v>8795</v>
      </c>
      <c r="G399" s="20" t="inlineStr">
        <is>
          <t>PIPE B36.10/36.19 A333 6-SMLS BE BE</t>
        </is>
      </c>
      <c r="H399" s="20" t="inlineStr">
        <is>
          <t>A333</t>
        </is>
      </c>
      <c r="I399" s="22" t="n">
        <v>14</v>
      </c>
      <c r="J399" s="21" t="inlineStr">
        <is>
          <t>STD</t>
        </is>
      </c>
      <c r="K399" s="20" t="inlineStr">
        <is>
          <t>I63649172</t>
        </is>
      </c>
      <c r="L399" s="22" t="n">
        <v>63.7</v>
      </c>
      <c r="M399" s="20">
        <f>IFERROR(LEFT(B399,SEARCH("_Rev",B399)-1),B399)</f>
        <v/>
      </c>
      <c r="N399" s="20">
        <f>IF(B399="","",IF(ISNUMBER(C399),IF(COUNTIFS($M$3:$M$1026,M399,$C$3:$C$1026,"&gt;"&amp;C399)=0,"CURRENT","SUPERSEDED"),"CURRENT"))</f>
        <v/>
      </c>
      <c r="O399" s="19" t="n"/>
    </row>
    <row r="400">
      <c r="A400" s="19" t="n"/>
      <c r="B400" s="20" t="inlineStr">
        <is>
          <t>4503-XH-DL-8796-8770-5111-FL-01_Rev0</t>
        </is>
      </c>
      <c r="C400" s="21" t="n">
        <v>0</v>
      </c>
      <c r="D400" s="21" t="n">
        <v>46234</v>
      </c>
      <c r="E400" s="20" t="inlineStr">
        <is>
          <t>IFC-ISSUED FOR CONSTRUCTION</t>
        </is>
      </c>
      <c r="F400" s="21" t="n">
        <v>8796</v>
      </c>
      <c r="G400" s="20" t="inlineStr">
        <is>
          <t>PIPE B36.10/36.19 A333 6-SMLS BE BE</t>
        </is>
      </c>
      <c r="H400" s="20" t="inlineStr">
        <is>
          <t>A333</t>
        </is>
      </c>
      <c r="I400" s="22" t="n">
        <v>14</v>
      </c>
      <c r="J400" s="21" t="inlineStr">
        <is>
          <t>STD</t>
        </is>
      </c>
      <c r="K400" s="20" t="inlineStr">
        <is>
          <t>I63649172</t>
        </is>
      </c>
      <c r="L400" s="22" t="n">
        <v>11.8</v>
      </c>
      <c r="M400" s="20">
        <f>IFERROR(LEFT(B400,SEARCH("_Rev",B400)-1),B400)</f>
        <v/>
      </c>
      <c r="N400" s="20">
        <f>IF(B400="","",IF(ISNUMBER(C400),IF(COUNTIFS($M$3:$M$1026,M400,$C$3:$C$1026,"&gt;"&amp;C400)=0,"CURRENT","SUPERSEDED"),"CURRENT"))</f>
        <v/>
      </c>
      <c r="O400" s="19" t="n"/>
    </row>
    <row r="401">
      <c r="A401" s="19" t="n"/>
      <c r="B401" s="20" t="inlineStr">
        <is>
          <t>4503-XH-DL-8796-8770-5111-FL-02_Rev0</t>
        </is>
      </c>
      <c r="C401" s="21" t="n">
        <v>0</v>
      </c>
      <c r="D401" s="21" t="n">
        <v>46234</v>
      </c>
      <c r="E401" s="20" t="inlineStr">
        <is>
          <t>IFC-ISSUED FOR CONSTRUCTION</t>
        </is>
      </c>
      <c r="F401" s="21" t="n">
        <v>8796</v>
      </c>
      <c r="G401" s="20" t="inlineStr">
        <is>
          <t>PIPE B36.10/36.19 A333 6-SMLS BE BE</t>
        </is>
      </c>
      <c r="H401" s="20" t="inlineStr">
        <is>
          <t>A333</t>
        </is>
      </c>
      <c r="I401" s="22" t="n">
        <v>14</v>
      </c>
      <c r="J401" s="21" t="inlineStr">
        <is>
          <t>STD</t>
        </is>
      </c>
      <c r="K401" s="20" t="inlineStr">
        <is>
          <t>I63649172</t>
        </is>
      </c>
      <c r="L401" s="22" t="n">
        <v>64.40000000000001</v>
      </c>
      <c r="M401" s="20">
        <f>IFERROR(LEFT(B401,SEARCH("_Rev",B401)-1),B401)</f>
        <v/>
      </c>
      <c r="N401" s="20">
        <f>IF(B401="","",IF(ISNUMBER(C401),IF(COUNTIFS($M$3:$M$1026,M401,$C$3:$C$1026,"&gt;"&amp;C401)=0,"CURRENT","SUPERSEDED"),"CURRENT"))</f>
        <v/>
      </c>
      <c r="O401" s="19" t="n"/>
    </row>
    <row r="402">
      <c r="A402" s="19" t="n"/>
      <c r="B402" s="20" t="inlineStr">
        <is>
          <t>4503-XH-DL-8901-8950-5022-LN-02_Rev0</t>
        </is>
      </c>
      <c r="C402" s="21" t="n">
        <v>0</v>
      </c>
      <c r="D402" s="21" t="n">
        <v>46227</v>
      </c>
      <c r="E402" s="20" t="inlineStr">
        <is>
          <t>IFC - ISSUED FOR CONSTRUCTION</t>
        </is>
      </c>
      <c r="F402" s="21" t="n">
        <v>8901</v>
      </c>
      <c r="G402" s="20" t="inlineStr">
        <is>
          <t>PIPE B36.10/36.19 A333 6-SMLS BE BE</t>
        </is>
      </c>
      <c r="H402" s="20" t="inlineStr">
        <is>
          <t>A333</t>
        </is>
      </c>
      <c r="I402" s="22" t="n">
        <v>2</v>
      </c>
      <c r="J402" s="21" t="inlineStr">
        <is>
          <t>XS</t>
        </is>
      </c>
      <c r="K402" s="20" t="inlineStr">
        <is>
          <t>I64108762</t>
        </is>
      </c>
      <c r="L402" s="22" t="n">
        <v>54.4</v>
      </c>
      <c r="M402" s="20">
        <f>IFERROR(LEFT(B402,SEARCH("_Rev",B402)-1),B402)</f>
        <v/>
      </c>
      <c r="N402" s="20">
        <f>IF(B402="","",IF(ISNUMBER(C402),IF(COUNTIFS($M$3:$M$1026,M402,$C$3:$C$1026,"&gt;"&amp;C402)=0,"CURRENT","SUPERSEDED"),"CURRENT"))</f>
        <v/>
      </c>
      <c r="O402" s="19" t="n"/>
    </row>
    <row r="403">
      <c r="A403" s="19" t="n"/>
      <c r="B403" s="20" t="inlineStr">
        <is>
          <t>4503-XH-DL-8901-8950-5022-LN-03_Rev0</t>
        </is>
      </c>
      <c r="C403" s="21" t="n">
        <v>0</v>
      </c>
      <c r="D403" s="21" t="n">
        <v>46227</v>
      </c>
      <c r="E403" s="20" t="inlineStr">
        <is>
          <t>IFC - ISSUED FOR CONSTRUCTION</t>
        </is>
      </c>
      <c r="F403" s="21" t="n">
        <v>8901</v>
      </c>
      <c r="G403" s="20" t="inlineStr">
        <is>
          <t>PIPE B36.10/36.19 A333 6-SMLS BE BE</t>
        </is>
      </c>
      <c r="H403" s="20" t="inlineStr">
        <is>
          <t>A333</t>
        </is>
      </c>
      <c r="I403" s="22" t="n">
        <v>2</v>
      </c>
      <c r="J403" s="21" t="inlineStr">
        <is>
          <t>XS</t>
        </is>
      </c>
      <c r="K403" s="20" t="inlineStr">
        <is>
          <t>I64108762</t>
        </is>
      </c>
      <c r="L403" s="22" t="n">
        <v>12.3</v>
      </c>
      <c r="M403" s="20">
        <f>IFERROR(LEFT(B403,SEARCH("_Rev",B403)-1),B403)</f>
        <v/>
      </c>
      <c r="N403" s="20">
        <f>IF(B403="","",IF(ISNUMBER(C403),IF(COUNTIFS($M$3:$M$1026,M403,$C$3:$C$1026,"&gt;"&amp;C403)=0,"CURRENT","SUPERSEDED"),"CURRENT"))</f>
        <v/>
      </c>
      <c r="O403" s="19" t="n"/>
    </row>
    <row r="404">
      <c r="A404" s="19" t="n"/>
      <c r="B404" s="20" t="inlineStr">
        <is>
          <t>4503-XH-DL-8901-8950-5022-LN-04_Rev0</t>
        </is>
      </c>
      <c r="C404" s="21" t="n">
        <v>0</v>
      </c>
      <c r="D404" s="21" t="n">
        <v>46227</v>
      </c>
      <c r="E404" s="20" t="inlineStr">
        <is>
          <t>IFC - ISSUED FOR CONSTRUCTION</t>
        </is>
      </c>
      <c r="F404" s="21" t="n">
        <v>8901</v>
      </c>
      <c r="G404" s="20" t="inlineStr">
        <is>
          <t>PIPE B36.10/36.19 A333 6-SMLS BE BE</t>
        </is>
      </c>
      <c r="H404" s="20" t="inlineStr">
        <is>
          <t>A333</t>
        </is>
      </c>
      <c r="I404" s="22" t="n">
        <v>2</v>
      </c>
      <c r="J404" s="21" t="inlineStr">
        <is>
          <t>XS</t>
        </is>
      </c>
      <c r="K404" s="20" t="inlineStr">
        <is>
          <t>I64108762</t>
        </is>
      </c>
      <c r="L404" s="22" t="n">
        <v>38.3</v>
      </c>
      <c r="M404" s="20">
        <f>IFERROR(LEFT(B404,SEARCH("_Rev",B404)-1),B404)</f>
        <v/>
      </c>
      <c r="N404" s="20">
        <f>IF(B404="","",IF(ISNUMBER(C404),IF(COUNTIFS($M$3:$M$1026,M404,$C$3:$C$1026,"&gt;"&amp;C404)=0,"CURRENT","SUPERSEDED"),"CURRENT"))</f>
        <v/>
      </c>
      <c r="O404" s="19" t="n"/>
    </row>
    <row r="405">
      <c r="A405" s="19" t="n"/>
      <c r="B405" s="20" t="inlineStr">
        <is>
          <t>4503-XH-DL-8901-8950-5022-LN-05_Rev0</t>
        </is>
      </c>
      <c r="C405" s="21" t="n">
        <v>0</v>
      </c>
      <c r="D405" s="21" t="n">
        <v>46227</v>
      </c>
      <c r="E405" s="20" t="inlineStr">
        <is>
          <t>IFC - ISSUED FOR CONSTRUCTION</t>
        </is>
      </c>
      <c r="F405" s="21" t="n">
        <v>8901</v>
      </c>
      <c r="G405" s="20" t="inlineStr">
        <is>
          <t>PIPE B36.10/36.19 A333 6-SMLS BE BE</t>
        </is>
      </c>
      <c r="H405" s="20" t="inlineStr">
        <is>
          <t>A333</t>
        </is>
      </c>
      <c r="I405" s="22" t="n">
        <v>2</v>
      </c>
      <c r="J405" s="21" t="inlineStr">
        <is>
          <t>XS</t>
        </is>
      </c>
      <c r="K405" s="20" t="inlineStr">
        <is>
          <t>I64108762</t>
        </is>
      </c>
      <c r="L405" s="22" t="n">
        <v>21.3</v>
      </c>
      <c r="M405" s="20">
        <f>IFERROR(LEFT(B405,SEARCH("_Rev",B405)-1),B405)</f>
        <v/>
      </c>
      <c r="N405" s="20">
        <f>IF(B405="","",IF(ISNUMBER(C405),IF(COUNTIFS($M$3:$M$1026,M405,$C$3:$C$1026,"&gt;"&amp;C405)=0,"CURRENT","SUPERSEDED"),"CURRENT"))</f>
        <v/>
      </c>
      <c r="O405" s="19" t="n"/>
    </row>
    <row r="406">
      <c r="A406" s="19" t="n"/>
      <c r="B406" s="20" t="inlineStr">
        <is>
          <t>4503-XH-DL-8901-8950-5022-LN-06_Rev0</t>
        </is>
      </c>
      <c r="C406" s="21" t="n">
        <v>0</v>
      </c>
      <c r="D406" s="21" t="n">
        <v>46227</v>
      </c>
      <c r="E406" s="20" t="inlineStr">
        <is>
          <t>IFC - ISSUED FOR CONSTRUCTION</t>
        </is>
      </c>
      <c r="F406" s="21" t="n">
        <v>8901</v>
      </c>
      <c r="G406" s="20" t="inlineStr">
        <is>
          <t>PIPE B36.10/36.19 A333 6-SMLS BE BE</t>
        </is>
      </c>
      <c r="H406" s="20" t="inlineStr">
        <is>
          <t>A333</t>
        </is>
      </c>
      <c r="I406" s="22" t="n">
        <v>2</v>
      </c>
      <c r="J406" s="21" t="inlineStr">
        <is>
          <t>XS</t>
        </is>
      </c>
      <c r="K406" s="20" t="inlineStr">
        <is>
          <t>I64108762</t>
        </is>
      </c>
      <c r="L406" s="22" t="n">
        <v>36.2</v>
      </c>
      <c r="M406" s="20">
        <f>IFERROR(LEFT(B406,SEARCH("_Rev",B406)-1),B406)</f>
        <v/>
      </c>
      <c r="N406" s="20">
        <f>IF(B406="","",IF(ISNUMBER(C406),IF(COUNTIFS($M$3:$M$1026,M406,$C$3:$C$1026,"&gt;"&amp;C406)=0,"CURRENT","SUPERSEDED"),"CURRENT"))</f>
        <v/>
      </c>
      <c r="O406" s="19" t="n"/>
    </row>
    <row r="407">
      <c r="A407" s="19" t="n"/>
      <c r="B407" s="20" t="inlineStr">
        <is>
          <t>4503-XH-DL-8902-8940-5007-GWR1-01_Rev0</t>
        </is>
      </c>
      <c r="C407" s="21" t="n">
        <v>0</v>
      </c>
      <c r="D407" s="21" t="n">
        <v>46230</v>
      </c>
      <c r="E407" s="20" t="inlineStr">
        <is>
          <t>IFC - ISSUED FOR CONSTRUCTION</t>
        </is>
      </c>
      <c r="F407" s="21" t="n">
        <v>8902</v>
      </c>
      <c r="G407" s="20" t="inlineStr">
        <is>
          <t>PIPE B36.10/36.19 A333 6-SMLS BE BE</t>
        </is>
      </c>
      <c r="H407" s="20" t="inlineStr">
        <is>
          <t>A333</t>
        </is>
      </c>
      <c r="I407" s="22" t="n">
        <v>10</v>
      </c>
      <c r="J407" s="21" t="inlineStr">
        <is>
          <t>STD</t>
        </is>
      </c>
      <c r="K407" s="20" t="inlineStr">
        <is>
          <t>I64108754</t>
        </is>
      </c>
      <c r="L407" s="22" t="n">
        <v>53.7</v>
      </c>
      <c r="M407" s="20">
        <f>IFERROR(LEFT(B407,SEARCH("_Rev",B407)-1),B407)</f>
        <v/>
      </c>
      <c r="N407" s="20">
        <f>IF(B407="","",IF(ISNUMBER(C407),IF(COUNTIFS($M$3:$M$1026,M407,$C$3:$C$1026,"&gt;"&amp;C407)=0,"CURRENT","SUPERSEDED"),"CURRENT"))</f>
        <v/>
      </c>
      <c r="O407" s="19" t="n"/>
    </row>
    <row r="408">
      <c r="A408" s="19" t="n"/>
      <c r="B408" s="20" t="inlineStr">
        <is>
          <t>4503-XH-DL-8902-8940-5007-GWR1-02_Rev0</t>
        </is>
      </c>
      <c r="C408" s="21" t="n">
        <v>0</v>
      </c>
      <c r="D408" s="21" t="n">
        <v>46230</v>
      </c>
      <c r="E408" s="20" t="inlineStr">
        <is>
          <t>IFC - ISSUED FOR CONSTRUCTION</t>
        </is>
      </c>
      <c r="F408" s="21" t="n">
        <v>8902</v>
      </c>
      <c r="G408" s="20" t="inlineStr">
        <is>
          <t>PIPE B36.10/36.19 A333 6-SMLS BE BE</t>
        </is>
      </c>
      <c r="H408" s="20" t="inlineStr">
        <is>
          <t>A333</t>
        </is>
      </c>
      <c r="I408" s="22" t="n">
        <v>10</v>
      </c>
      <c r="J408" s="21" t="inlineStr">
        <is>
          <t>STD</t>
        </is>
      </c>
      <c r="K408" s="20" t="inlineStr">
        <is>
          <t>I64108754</t>
        </is>
      </c>
      <c r="L408" s="22" t="n">
        <v>63.5</v>
      </c>
      <c r="M408" s="20">
        <f>IFERROR(LEFT(B408,SEARCH("_Rev",B408)-1),B408)</f>
        <v/>
      </c>
      <c r="N408" s="20">
        <f>IF(B408="","",IF(ISNUMBER(C408),IF(COUNTIFS($M$3:$M$1026,M408,$C$3:$C$1026,"&gt;"&amp;C408)=0,"CURRENT","SUPERSEDED"),"CURRENT"))</f>
        <v/>
      </c>
      <c r="O408" s="19" t="n"/>
    </row>
    <row r="409">
      <c r="A409" s="19" t="n"/>
      <c r="B409" s="20" t="inlineStr">
        <is>
          <t>4503-XH-DL-8902-8940-5007-GWR1-03_Rev0</t>
        </is>
      </c>
      <c r="C409" s="21" t="n">
        <v>0</v>
      </c>
      <c r="D409" s="21" t="n">
        <v>46230</v>
      </c>
      <c r="E409" s="20" t="inlineStr">
        <is>
          <t>IFI - ISSUED FOR INFORMATION</t>
        </is>
      </c>
      <c r="F409" s="21" t="n">
        <v>8902</v>
      </c>
      <c r="G409" s="20" t="inlineStr">
        <is>
          <t>PIPE B36.10/36.19 A333 6-SMLS PE PE</t>
        </is>
      </c>
      <c r="H409" s="20" t="inlineStr">
        <is>
          <t>A333</t>
        </is>
      </c>
      <c r="I409" s="22" t="n">
        <v>1</v>
      </c>
      <c r="J409" s="21" t="inlineStr">
        <is>
          <t>160</t>
        </is>
      </c>
      <c r="K409" s="20" t="inlineStr">
        <is>
          <t>I64108817</t>
        </is>
      </c>
      <c r="L409" s="22" t="n">
        <v>0.1</v>
      </c>
      <c r="M409" s="20">
        <f>IFERROR(LEFT(B409,SEARCH("_Rev",B409)-1),B409)</f>
        <v/>
      </c>
      <c r="N409" s="20">
        <f>IF(B409="","",IF(ISNUMBER(C409),IF(COUNTIFS($M$3:$M$1026,M409,$C$3:$C$1026,"&gt;"&amp;C409)=0,"CURRENT","SUPERSEDED"),"CURRENT"))</f>
        <v/>
      </c>
      <c r="O409" s="19" t="n"/>
    </row>
    <row r="410">
      <c r="A410" s="19" t="n"/>
      <c r="B410" s="20" t="inlineStr">
        <is>
          <t>4503-XH-DL-8902-8940-5009-GWS1-01_Rev0</t>
        </is>
      </c>
      <c r="C410" s="21" t="n">
        <v>0</v>
      </c>
      <c r="D410" s="21" t="n">
        <v>46230</v>
      </c>
      <c r="E410" s="20" t="inlineStr">
        <is>
          <t>IFC - ISSUED FOR CONSTRUCTION</t>
        </is>
      </c>
      <c r="F410" s="21" t="n">
        <v>8902</v>
      </c>
      <c r="G410" s="20" t="inlineStr">
        <is>
          <t>PIPE B36.10/36.19 A333 6-SMLS BE BE</t>
        </is>
      </c>
      <c r="H410" s="20" t="inlineStr">
        <is>
          <t>A333</t>
        </is>
      </c>
      <c r="I410" s="22" t="n">
        <v>10</v>
      </c>
      <c r="J410" s="21" t="inlineStr">
        <is>
          <t>STD</t>
        </is>
      </c>
      <c r="K410" s="20" t="inlineStr">
        <is>
          <t>I64108754</t>
        </is>
      </c>
      <c r="L410" s="22" t="n">
        <v>54.9</v>
      </c>
      <c r="M410" s="20">
        <f>IFERROR(LEFT(B410,SEARCH("_Rev",B410)-1),B410)</f>
        <v/>
      </c>
      <c r="N410" s="20">
        <f>IF(B410="","",IF(ISNUMBER(C410),IF(COUNTIFS($M$3:$M$1026,M410,$C$3:$C$1026,"&gt;"&amp;C410)=0,"CURRENT","SUPERSEDED"),"CURRENT"))</f>
        <v/>
      </c>
      <c r="O410" s="19" t="n"/>
    </row>
    <row r="411">
      <c r="A411" s="19" t="n"/>
      <c r="B411" s="20" t="inlineStr">
        <is>
          <t>4503-XH-DL-8902-8940-5009-GWS1-02_Rev0</t>
        </is>
      </c>
      <c r="C411" s="21" t="n">
        <v>0</v>
      </c>
      <c r="D411" s="21" t="n">
        <v>46230</v>
      </c>
      <c r="E411" s="20" t="inlineStr">
        <is>
          <t>IFC - ISSUED FOR CONSTRUCTION</t>
        </is>
      </c>
      <c r="F411" s="21" t="n">
        <v>8902</v>
      </c>
      <c r="G411" s="20" t="inlineStr">
        <is>
          <t>PIPE B36.10/36.19 A333 6-SMLS BE BE</t>
        </is>
      </c>
      <c r="H411" s="20" t="inlineStr">
        <is>
          <t>A333</t>
        </is>
      </c>
      <c r="I411" s="22" t="n">
        <v>10</v>
      </c>
      <c r="J411" s="21" t="inlineStr">
        <is>
          <t>STD</t>
        </is>
      </c>
      <c r="K411" s="20" t="inlineStr">
        <is>
          <t>I64108754</t>
        </is>
      </c>
      <c r="L411" s="22" t="n">
        <v>63.5</v>
      </c>
      <c r="M411" s="20">
        <f>IFERROR(LEFT(B411,SEARCH("_Rev",B411)-1),B411)</f>
        <v/>
      </c>
      <c r="N411" s="20">
        <f>IF(B411="","",IF(ISNUMBER(C411),IF(COUNTIFS($M$3:$M$1026,M411,$C$3:$C$1026,"&gt;"&amp;C411)=0,"CURRENT","SUPERSEDED"),"CURRENT"))</f>
        <v/>
      </c>
      <c r="O411" s="19" t="n"/>
    </row>
    <row r="412">
      <c r="A412" s="19" t="n"/>
      <c r="B412" s="20" t="inlineStr">
        <is>
          <t>4503-XH-DL-8902-8940-5009-GWS1-03_Rev0</t>
        </is>
      </c>
      <c r="C412" s="21" t="n">
        <v>0</v>
      </c>
      <c r="D412" s="21" t="n">
        <v>46230</v>
      </c>
      <c r="E412" s="20" t="inlineStr">
        <is>
          <t>IFI - ISSUED FOR INFORMATION</t>
        </is>
      </c>
      <c r="F412" s="21" t="n">
        <v>8902</v>
      </c>
      <c r="G412" s="20" t="inlineStr">
        <is>
          <t>PIPE B36.10/36.19 A333 6-SMLS PE PE</t>
        </is>
      </c>
      <c r="H412" s="20" t="inlineStr">
        <is>
          <t>A333</t>
        </is>
      </c>
      <c r="I412" s="22" t="n">
        <v>1</v>
      </c>
      <c r="J412" s="21" t="inlineStr">
        <is>
          <t>160</t>
        </is>
      </c>
      <c r="K412" s="20" t="inlineStr">
        <is>
          <t>I64108817</t>
        </is>
      </c>
      <c r="L412" s="22" t="n">
        <v>0.1</v>
      </c>
      <c r="M412" s="20">
        <f>IFERROR(LEFT(B412,SEARCH("_Rev",B412)-1),B412)</f>
        <v/>
      </c>
      <c r="N412" s="20">
        <f>IF(B412="","",IF(ISNUMBER(C412),IF(COUNTIFS($M$3:$M$1026,M412,$C$3:$C$1026,"&gt;"&amp;C412)=0,"CURRENT","SUPERSEDED"),"CURRENT"))</f>
        <v/>
      </c>
      <c r="O412" s="19" t="n"/>
    </row>
    <row r="413">
      <c r="A413" s="19" t="n"/>
      <c r="B413" s="20" t="inlineStr">
        <is>
          <t>4503-XH-DL-8902-8941-5003-HWR1-01_Rev0</t>
        </is>
      </c>
      <c r="C413" s="21" t="n">
        <v>0</v>
      </c>
      <c r="D413" s="21" t="n">
        <v>46227</v>
      </c>
      <c r="E413" s="20" t="inlineStr">
        <is>
          <t>IFC - ISSUED FOR CONSTRUCTION</t>
        </is>
      </c>
      <c r="F413" s="21" t="n">
        <v>8902</v>
      </c>
      <c r="G413" s="20" t="inlineStr">
        <is>
          <t>PIPE B36.10/36.19 A333 6-SMLS BE BE</t>
        </is>
      </c>
      <c r="H413" s="20" t="inlineStr">
        <is>
          <t>A333</t>
        </is>
      </c>
      <c r="I413" s="22" t="n">
        <v>16</v>
      </c>
      <c r="J413" s="21" t="inlineStr">
        <is>
          <t>STD</t>
        </is>
      </c>
      <c r="K413" s="20" t="inlineStr">
        <is>
          <t>I65585719</t>
        </is>
      </c>
      <c r="L413" s="22" t="n">
        <v>33.3</v>
      </c>
      <c r="M413" s="20">
        <f>IFERROR(LEFT(B413,SEARCH("_Rev",B413)-1),B413)</f>
        <v/>
      </c>
      <c r="N413" s="20">
        <f>IF(B413="","",IF(ISNUMBER(C413),IF(COUNTIFS($M$3:$M$1026,M413,$C$3:$C$1026,"&gt;"&amp;C413)=0,"CURRENT","SUPERSEDED"),"CURRENT"))</f>
        <v/>
      </c>
      <c r="O413" s="19" t="n"/>
    </row>
    <row r="414">
      <c r="A414" s="19" t="n"/>
      <c r="B414" s="20" t="inlineStr">
        <is>
          <t>4503-XH-DL-8902-8941-5003-HWR1-02_Rev0</t>
        </is>
      </c>
      <c r="C414" s="21" t="n">
        <v>0</v>
      </c>
      <c r="D414" s="21" t="n">
        <v>46232</v>
      </c>
      <c r="E414" s="20" t="inlineStr">
        <is>
          <t>IFC - ISSUED FOR CONSTRUCTION</t>
        </is>
      </c>
      <c r="F414" s="21" t="n">
        <v>8902</v>
      </c>
      <c r="G414" s="20" t="inlineStr">
        <is>
          <t>PIPE B36.10/36.19 A333 6-SMLS BE BE</t>
        </is>
      </c>
      <c r="H414" s="20" t="inlineStr">
        <is>
          <t>A333</t>
        </is>
      </c>
      <c r="I414" s="22" t="n">
        <v>16</v>
      </c>
      <c r="J414" s="21" t="inlineStr">
        <is>
          <t>STD</t>
        </is>
      </c>
      <c r="K414" s="20" t="inlineStr">
        <is>
          <t>I65585719</t>
        </is>
      </c>
      <c r="L414" s="22" t="n">
        <v>63.5</v>
      </c>
      <c r="M414" s="20">
        <f>IFERROR(LEFT(B414,SEARCH("_Rev",B414)-1),B414)</f>
        <v/>
      </c>
      <c r="N414" s="20">
        <f>IF(B414="","",IF(ISNUMBER(C414),IF(COUNTIFS($M$3:$M$1026,M414,$C$3:$C$1026,"&gt;"&amp;C414)=0,"CURRENT","SUPERSEDED"),"CURRENT"))</f>
        <v/>
      </c>
      <c r="O414" s="19" t="n"/>
    </row>
    <row r="415">
      <c r="A415" s="19" t="n"/>
      <c r="B415" s="20" t="inlineStr">
        <is>
          <t>4503-XH-DL-8902-8941-5003-HWR1-03_Rev0</t>
        </is>
      </c>
      <c r="C415" s="21" t="n">
        <v>0</v>
      </c>
      <c r="D415" s="21" t="n">
        <v>46232</v>
      </c>
      <c r="E415" s="20" t="inlineStr">
        <is>
          <t>IFC - ISSUED FOR CONSTRUCTION</t>
        </is>
      </c>
      <c r="F415" s="21" t="n">
        <v>8902</v>
      </c>
      <c r="G415" s="20" t="inlineStr">
        <is>
          <t>PIPE B36.10/36.19 A333 6-SMLS BE BE</t>
        </is>
      </c>
      <c r="H415" s="20" t="inlineStr">
        <is>
          <t>A333</t>
        </is>
      </c>
      <c r="I415" s="22" t="n">
        <v>16</v>
      </c>
      <c r="J415" s="21" t="inlineStr">
        <is>
          <t>STD</t>
        </is>
      </c>
      <c r="K415" s="20" t="inlineStr">
        <is>
          <t>I65585719</t>
        </is>
      </c>
      <c r="L415" s="22" t="n">
        <v>31.6</v>
      </c>
      <c r="M415" s="20">
        <f>IFERROR(LEFT(B415,SEARCH("_Rev",B415)-1),B415)</f>
        <v/>
      </c>
      <c r="N415" s="20">
        <f>IF(B415="","",IF(ISNUMBER(C415),IF(COUNTIFS($M$3:$M$1026,M415,$C$3:$C$1026,"&gt;"&amp;C415)=0,"CURRENT","SUPERSEDED"),"CURRENT"))</f>
        <v/>
      </c>
      <c r="O415" s="19" t="n"/>
    </row>
    <row r="416">
      <c r="A416" s="19" t="n"/>
      <c r="B416" s="20" t="inlineStr">
        <is>
          <t>4503-XH-DL-8902-8941-5003-HWR1-04_Rev0</t>
        </is>
      </c>
      <c r="C416" s="21" t="n">
        <v>0</v>
      </c>
      <c r="D416" s="21" t="n">
        <v>46227</v>
      </c>
      <c r="E416" s="20" t="inlineStr">
        <is>
          <t>IFI - ISSUED FOR INFORMATION</t>
        </is>
      </c>
      <c r="F416" s="21" t="n">
        <v>8902</v>
      </c>
      <c r="G416" s="20" t="inlineStr">
        <is>
          <t>PIPE B36.10/36.19 A333 6-SMLS PE PE</t>
        </is>
      </c>
      <c r="H416" s="20" t="inlineStr">
        <is>
          <t>A333</t>
        </is>
      </c>
      <c r="I416" s="22" t="n">
        <v>1</v>
      </c>
      <c r="J416" s="21" t="inlineStr">
        <is>
          <t>XS</t>
        </is>
      </c>
      <c r="K416" s="20" t="inlineStr">
        <is>
          <t>I63649231</t>
        </is>
      </c>
      <c r="L416" s="22" t="n">
        <v>0.2</v>
      </c>
      <c r="M416" s="20">
        <f>IFERROR(LEFT(B416,SEARCH("_Rev",B416)-1),B416)</f>
        <v/>
      </c>
      <c r="N416" s="20">
        <f>IF(B416="","",IF(ISNUMBER(C416),IF(COUNTIFS($M$3:$M$1026,M416,$C$3:$C$1026,"&gt;"&amp;C416)=0,"CURRENT","SUPERSEDED"),"CURRENT"))</f>
        <v/>
      </c>
      <c r="O416" s="19" t="n"/>
    </row>
    <row r="417">
      <c r="A417" s="19" t="n"/>
      <c r="B417" s="20" t="inlineStr">
        <is>
          <t>4503-XH-DL-8902-8941-5003-HWS1-01_Rev0</t>
        </is>
      </c>
      <c r="C417" s="21" t="n">
        <v>0</v>
      </c>
      <c r="D417" s="21" t="n">
        <v>46227</v>
      </c>
      <c r="E417" s="20" t="inlineStr">
        <is>
          <t>IFC - ISSUED FOR CONSTRUCTION</t>
        </is>
      </c>
      <c r="F417" s="21" t="n">
        <v>8902</v>
      </c>
      <c r="G417" s="20" t="inlineStr">
        <is>
          <t>PIPE B36.10/36.19 A333 6-SMLS BE BE</t>
        </is>
      </c>
      <c r="H417" s="20" t="inlineStr">
        <is>
          <t>A333</t>
        </is>
      </c>
      <c r="I417" s="22" t="n">
        <v>16</v>
      </c>
      <c r="J417" s="21" t="inlineStr">
        <is>
          <t>STD</t>
        </is>
      </c>
      <c r="K417" s="20" t="inlineStr">
        <is>
          <t>I65585719</t>
        </is>
      </c>
      <c r="L417" s="22" t="n">
        <v>30.1</v>
      </c>
      <c r="M417" s="20">
        <f>IFERROR(LEFT(B417,SEARCH("_Rev",B417)-1),B417)</f>
        <v/>
      </c>
      <c r="N417" s="20">
        <f>IF(B417="","",IF(ISNUMBER(C417),IF(COUNTIFS($M$3:$M$1026,M417,$C$3:$C$1026,"&gt;"&amp;C417)=0,"CURRENT","SUPERSEDED"),"CURRENT"))</f>
        <v/>
      </c>
      <c r="O417" s="19" t="n"/>
    </row>
    <row r="418">
      <c r="A418" s="19" t="n"/>
      <c r="B418" s="20" t="inlineStr">
        <is>
          <t>4503-XH-DL-8902-8941-5003-HWS1-02_Rev0</t>
        </is>
      </c>
      <c r="C418" s="21" t="n">
        <v>0</v>
      </c>
      <c r="D418" s="21" t="n">
        <v>46232</v>
      </c>
      <c r="E418" s="20" t="inlineStr">
        <is>
          <t>IFC - ISSUED FOR CONSTRUCTION</t>
        </is>
      </c>
      <c r="F418" s="21" t="n">
        <v>8902</v>
      </c>
      <c r="G418" s="20" t="inlineStr">
        <is>
          <t>PIPE B36.10/36.19 A333 6-SMLS BE BE</t>
        </is>
      </c>
      <c r="H418" s="20" t="inlineStr">
        <is>
          <t>A333</t>
        </is>
      </c>
      <c r="I418" s="22" t="n">
        <v>16</v>
      </c>
      <c r="J418" s="21" t="inlineStr">
        <is>
          <t>STD</t>
        </is>
      </c>
      <c r="K418" s="20" t="inlineStr">
        <is>
          <t>I65585719</t>
        </is>
      </c>
      <c r="L418" s="22" t="n">
        <v>31.6</v>
      </c>
      <c r="M418" s="20">
        <f>IFERROR(LEFT(B418,SEARCH("_Rev",B418)-1),B418)</f>
        <v/>
      </c>
      <c r="N418" s="20">
        <f>IF(B418="","",IF(ISNUMBER(C418),IF(COUNTIFS($M$3:$M$1026,M418,$C$3:$C$1026,"&gt;"&amp;C418)=0,"CURRENT","SUPERSEDED"),"CURRENT"))</f>
        <v/>
      </c>
      <c r="O418" s="19" t="n"/>
    </row>
    <row r="419">
      <c r="A419" s="19" t="n"/>
      <c r="B419" s="20" t="inlineStr">
        <is>
          <t>4503-XH-DL-8902-8941-5003-HWS1-03_Rev0</t>
        </is>
      </c>
      <c r="C419" s="21" t="n">
        <v>0</v>
      </c>
      <c r="D419" s="21" t="n">
        <v>46232</v>
      </c>
      <c r="E419" s="20" t="inlineStr">
        <is>
          <t>IFC - ISSUED FOR CONSTRUCTION</t>
        </is>
      </c>
      <c r="F419" s="21" t="n">
        <v>8902</v>
      </c>
      <c r="G419" s="20" t="inlineStr">
        <is>
          <t>PIPE B36.10/36.19 A333 6-SMLS BE BE</t>
        </is>
      </c>
      <c r="H419" s="20" t="inlineStr">
        <is>
          <t>A333</t>
        </is>
      </c>
      <c r="I419" s="22" t="n">
        <v>16</v>
      </c>
      <c r="J419" s="21" t="inlineStr">
        <is>
          <t>STD</t>
        </is>
      </c>
      <c r="K419" s="20" t="inlineStr">
        <is>
          <t>I65585719</t>
        </is>
      </c>
      <c r="L419" s="22" t="n">
        <v>63.5</v>
      </c>
      <c r="M419" s="20">
        <f>IFERROR(LEFT(B419,SEARCH("_Rev",B419)-1),B419)</f>
        <v/>
      </c>
      <c r="N419" s="20">
        <f>IF(B419="","",IF(ISNUMBER(C419),IF(COUNTIFS($M$3:$M$1026,M419,$C$3:$C$1026,"&gt;"&amp;C419)=0,"CURRENT","SUPERSEDED"),"CURRENT"))</f>
        <v/>
      </c>
      <c r="O419" s="19" t="n"/>
    </row>
    <row r="420">
      <c r="A420" s="19" t="n"/>
      <c r="B420" s="20" t="inlineStr">
        <is>
          <t>4503-XH-DL-8902-8941-5003-HWS1-04_Rev0</t>
        </is>
      </c>
      <c r="C420" s="21" t="n">
        <v>0</v>
      </c>
      <c r="D420" s="21" t="n">
        <v>46228</v>
      </c>
      <c r="E420" s="20" t="inlineStr">
        <is>
          <t>IFI - ISSUED FOR INFORMATION</t>
        </is>
      </c>
      <c r="F420" s="21" t="n">
        <v>8902</v>
      </c>
      <c r="G420" s="20" t="inlineStr">
        <is>
          <t>PIPE B36.10/36.19 A333 6-SMLS PE PE</t>
        </is>
      </c>
      <c r="H420" s="20" t="inlineStr">
        <is>
          <t>A333</t>
        </is>
      </c>
      <c r="I420" s="22" t="n">
        <v>1</v>
      </c>
      <c r="J420" s="21" t="inlineStr">
        <is>
          <t>XS</t>
        </is>
      </c>
      <c r="K420" s="20" t="inlineStr">
        <is>
          <t>I63649231</t>
        </is>
      </c>
      <c r="L420" s="22" t="n">
        <v>0.2</v>
      </c>
      <c r="M420" s="20">
        <f>IFERROR(LEFT(B420,SEARCH("_Rev",B420)-1),B420)</f>
        <v/>
      </c>
      <c r="N420" s="20">
        <f>IF(B420="","",IF(ISNUMBER(C420),IF(COUNTIFS($M$3:$M$1026,M420,$C$3:$C$1026,"&gt;"&amp;C420)=0,"CURRENT","SUPERSEDED"),"CURRENT"))</f>
        <v/>
      </c>
      <c r="O420" s="19" t="n"/>
    </row>
    <row r="421">
      <c r="A421" s="19" t="n"/>
      <c r="B421" s="20" t="inlineStr">
        <is>
          <t>4503-XH-DL-8902-8950-5020-LN-01_Rev0</t>
        </is>
      </c>
      <c r="C421" s="21" t="n">
        <v>0</v>
      </c>
      <c r="D421" s="21" t="n">
        <v>46227</v>
      </c>
      <c r="E421" s="20" t="inlineStr">
        <is>
          <t>IFC - ISSUED FOR CONSTRUCTION</t>
        </is>
      </c>
      <c r="F421" s="21" t="n">
        <v>8902</v>
      </c>
      <c r="G421" s="20" t="inlineStr">
        <is>
          <t>PIPE B36.10/36.19 A333 6-SMLS BE BE</t>
        </is>
      </c>
      <c r="H421" s="20" t="inlineStr">
        <is>
          <t>A333</t>
        </is>
      </c>
      <c r="I421" s="22" t="n">
        <v>4</v>
      </c>
      <c r="J421" s="21" t="inlineStr">
        <is>
          <t>STD</t>
        </is>
      </c>
      <c r="K421" s="20" t="inlineStr">
        <is>
          <t>I63649186</t>
        </is>
      </c>
      <c r="L421" s="22" t="n">
        <v>9.1</v>
      </c>
      <c r="M421" s="20">
        <f>IFERROR(LEFT(B421,SEARCH("_Rev",B421)-1),B421)</f>
        <v/>
      </c>
      <c r="N421" s="20">
        <f>IF(B421="","",IF(ISNUMBER(C421),IF(COUNTIFS($M$3:$M$1026,M421,$C$3:$C$1026,"&gt;"&amp;C421)=0,"CURRENT","SUPERSEDED"),"CURRENT"))</f>
        <v/>
      </c>
      <c r="O421" s="19" t="n"/>
    </row>
    <row r="422">
      <c r="A422" s="19" t="n"/>
      <c r="B422" s="20" t="inlineStr">
        <is>
          <t>4503-XH-DL-8902-8950-5022-LN-01_Rev0</t>
        </is>
      </c>
      <c r="C422" s="21" t="n">
        <v>0</v>
      </c>
      <c r="D422" s="21" t="n">
        <v>46227</v>
      </c>
      <c r="E422" s="20" t="inlineStr">
        <is>
          <t>IFC - ISSUED FOR CONSTRUCTION</t>
        </is>
      </c>
      <c r="F422" s="21" t="n">
        <v>8902</v>
      </c>
      <c r="G422" s="20" t="inlineStr">
        <is>
          <t>PIPE B36.10/36.19 A333 6-SMLS BE BE</t>
        </is>
      </c>
      <c r="H422" s="20" t="inlineStr">
        <is>
          <t>A333</t>
        </is>
      </c>
      <c r="I422" s="22" t="n">
        <v>2</v>
      </c>
      <c r="J422" s="21" t="inlineStr">
        <is>
          <t>XS</t>
        </is>
      </c>
      <c r="K422" s="20" t="inlineStr">
        <is>
          <t>I64108762</t>
        </is>
      </c>
      <c r="L422" s="22" t="n">
        <v>48</v>
      </c>
      <c r="M422" s="20">
        <f>IFERROR(LEFT(B422,SEARCH("_Rev",B422)-1),B422)</f>
        <v/>
      </c>
      <c r="N422" s="20">
        <f>IF(B422="","",IF(ISNUMBER(C422),IF(COUNTIFS($M$3:$M$1026,M422,$C$3:$C$1026,"&gt;"&amp;C422)=0,"CURRENT","SUPERSEDED"),"CURRENT"))</f>
        <v/>
      </c>
      <c r="O422" s="19" t="n"/>
    </row>
    <row r="423">
      <c r="A423" s="19" t="n"/>
      <c r="B423" s="20" t="inlineStr">
        <is>
          <t>4503-XH-DL-8902-8950-5022-LN-02_Rev0</t>
        </is>
      </c>
      <c r="C423" s="21" t="n">
        <v>0</v>
      </c>
      <c r="D423" s="21" t="n">
        <v>46227</v>
      </c>
      <c r="E423" s="20" t="inlineStr">
        <is>
          <t>IFC - ISSUED FOR CONSTRUCTION</t>
        </is>
      </c>
      <c r="F423" s="21" t="n">
        <v>8902</v>
      </c>
      <c r="G423" s="20" t="inlineStr">
        <is>
          <t>PIPE B36.10/36.19 A333 6-SMLS BE BE</t>
        </is>
      </c>
      <c r="H423" s="20" t="inlineStr">
        <is>
          <t>A333</t>
        </is>
      </c>
      <c r="I423" s="22" t="n">
        <v>2</v>
      </c>
      <c r="J423" s="21" t="inlineStr">
        <is>
          <t>XS</t>
        </is>
      </c>
      <c r="K423" s="20" t="inlineStr">
        <is>
          <t>I64108762</t>
        </is>
      </c>
      <c r="L423" s="22" t="n">
        <v>7.5</v>
      </c>
      <c r="M423" s="20">
        <f>IFERROR(LEFT(B423,SEARCH("_Rev",B423)-1),B423)</f>
        <v/>
      </c>
      <c r="N423" s="20">
        <f>IF(B423="","",IF(ISNUMBER(C423),IF(COUNTIFS($M$3:$M$1026,M423,$C$3:$C$1026,"&gt;"&amp;C423)=0,"CURRENT","SUPERSEDED"),"CURRENT"))</f>
        <v/>
      </c>
      <c r="O423" s="19" t="n"/>
    </row>
    <row r="424">
      <c r="A424" s="19" t="n"/>
      <c r="B424" s="20" t="inlineStr">
        <is>
          <t>4503-XH-DL-8902-8950-5022-LN-03_Rev0</t>
        </is>
      </c>
      <c r="C424" s="21" t="n">
        <v>0</v>
      </c>
      <c r="D424" s="21" t="n">
        <v>46227</v>
      </c>
      <c r="E424" s="20" t="inlineStr">
        <is>
          <t>IFC - ISSUED FOR CONSTRUCTION</t>
        </is>
      </c>
      <c r="F424" s="21" t="n">
        <v>8902</v>
      </c>
      <c r="G424" s="20" t="inlineStr">
        <is>
          <t>PIPE B36.10/36.19 A333 6-SMLS BE BE</t>
        </is>
      </c>
      <c r="H424" s="20" t="inlineStr">
        <is>
          <t>A333</t>
        </is>
      </c>
      <c r="I424" s="22" t="n">
        <v>4</v>
      </c>
      <c r="J424" s="21" t="inlineStr">
        <is>
          <t>STD</t>
        </is>
      </c>
      <c r="K424" s="20" t="inlineStr">
        <is>
          <t>I63649186</t>
        </is>
      </c>
      <c r="L424" s="22" t="n">
        <v>63.5</v>
      </c>
      <c r="M424" s="20">
        <f>IFERROR(LEFT(B424,SEARCH("_Rev",B424)-1),B424)</f>
        <v/>
      </c>
      <c r="N424" s="20">
        <f>IF(B424="","",IF(ISNUMBER(C424),IF(COUNTIFS($M$3:$M$1026,M424,$C$3:$C$1026,"&gt;"&amp;C424)=0,"CURRENT","SUPERSEDED"),"CURRENT"))</f>
        <v/>
      </c>
      <c r="O424" s="19" t="n"/>
    </row>
    <row r="425">
      <c r="A425" s="19" t="n"/>
      <c r="B425" s="20" t="inlineStr">
        <is>
          <t>4503-XH-DL-8902-8950-5022-LN-04_Rev0</t>
        </is>
      </c>
      <c r="C425" s="21" t="n">
        <v>0</v>
      </c>
      <c r="D425" s="21" t="n">
        <v>46227</v>
      </c>
      <c r="E425" s="20" t="inlineStr">
        <is>
          <t>IFC - ISSUED FOR CONSTRUCTION</t>
        </is>
      </c>
      <c r="F425" s="21" t="n">
        <v>8902</v>
      </c>
      <c r="G425" s="20" t="inlineStr">
        <is>
          <t>PIPE B36.10/36.19 A333 6-SMLS BE BE</t>
        </is>
      </c>
      <c r="H425" s="20" t="inlineStr">
        <is>
          <t>A333</t>
        </is>
      </c>
      <c r="I425" s="22" t="n">
        <v>4</v>
      </c>
      <c r="J425" s="21" t="inlineStr">
        <is>
          <t>STD</t>
        </is>
      </c>
      <c r="K425" s="20" t="inlineStr">
        <is>
          <t>I63649186</t>
        </is>
      </c>
      <c r="L425" s="22" t="n">
        <v>20</v>
      </c>
      <c r="M425" s="20">
        <f>IFERROR(LEFT(B425,SEARCH("_Rev",B425)-1),B425)</f>
        <v/>
      </c>
      <c r="N425" s="20">
        <f>IF(B425="","",IF(ISNUMBER(C425),IF(COUNTIFS($M$3:$M$1026,M425,$C$3:$C$1026,"&gt;"&amp;C425)=0,"CURRENT","SUPERSEDED"),"CURRENT"))</f>
        <v/>
      </c>
      <c r="O425" s="19" t="n"/>
    </row>
    <row r="426">
      <c r="A426" s="19" t="n"/>
      <c r="B426" s="20" t="inlineStr">
        <is>
          <t>4503-XH-DL-8902-8950-5022-LN-05_Rev0</t>
        </is>
      </c>
      <c r="C426" s="21" t="n">
        <v>0</v>
      </c>
      <c r="D426" s="21" t="n">
        <v>46227</v>
      </c>
      <c r="E426" s="20" t="inlineStr">
        <is>
          <t>IFC - ISSUED FOR CONSTRUCTION</t>
        </is>
      </c>
      <c r="F426" s="21" t="n">
        <v>8902</v>
      </c>
      <c r="G426" s="20" t="inlineStr">
        <is>
          <t>PIPE B36.10/36.19 A333 6-SMLS BE BE</t>
        </is>
      </c>
      <c r="H426" s="20" t="inlineStr">
        <is>
          <t>A333</t>
        </is>
      </c>
      <c r="I426" s="22" t="n">
        <v>4</v>
      </c>
      <c r="J426" s="21" t="inlineStr">
        <is>
          <t>STD</t>
        </is>
      </c>
      <c r="K426" s="20" t="inlineStr">
        <is>
          <t>I63649186</t>
        </is>
      </c>
      <c r="L426" s="22" t="n">
        <v>17.2</v>
      </c>
      <c r="M426" s="20">
        <f>IFERROR(LEFT(B426,SEARCH("_Rev",B426)-1),B426)</f>
        <v/>
      </c>
      <c r="N426" s="20">
        <f>IF(B426="","",IF(ISNUMBER(C426),IF(COUNTIFS($M$3:$M$1026,M426,$C$3:$C$1026,"&gt;"&amp;C426)=0,"CURRENT","SUPERSEDED"),"CURRENT"))</f>
        <v/>
      </c>
      <c r="O426" s="19" t="n"/>
    </row>
    <row r="427">
      <c r="A427" s="19" t="n"/>
      <c r="B427" s="20" t="inlineStr">
        <is>
          <t>4503-XH-DL-8902-8950-5022-LN-06_Rev0</t>
        </is>
      </c>
      <c r="C427" s="21" t="n">
        <v>0</v>
      </c>
      <c r="D427" s="21" t="n">
        <v>46227</v>
      </c>
      <c r="E427" s="20" t="inlineStr">
        <is>
          <t>IFC - ISSUED FOR CONSTRUCTION</t>
        </is>
      </c>
      <c r="F427" s="21" t="n">
        <v>8902</v>
      </c>
      <c r="G427" s="20" t="inlineStr">
        <is>
          <t>PIPE B36.10/36.19 A333 6-SMLS BE BE</t>
        </is>
      </c>
      <c r="H427" s="20" t="inlineStr">
        <is>
          <t>A333</t>
        </is>
      </c>
      <c r="I427" s="22" t="n">
        <v>4</v>
      </c>
      <c r="J427" s="21" t="inlineStr">
        <is>
          <t>STD</t>
        </is>
      </c>
      <c r="K427" s="20" t="inlineStr">
        <is>
          <t>I63649186</t>
        </is>
      </c>
      <c r="L427" s="22" t="n">
        <v>22</v>
      </c>
      <c r="M427" s="20">
        <f>IFERROR(LEFT(B427,SEARCH("_Rev",B427)-1),B427)</f>
        <v/>
      </c>
      <c r="N427" s="20">
        <f>IF(B427="","",IF(ISNUMBER(C427),IF(COUNTIFS($M$3:$M$1026,M427,$C$3:$C$1026,"&gt;"&amp;C427)=0,"CURRENT","SUPERSEDED"),"CURRENT"))</f>
        <v/>
      </c>
      <c r="O427" s="19" t="n"/>
    </row>
    <row r="428">
      <c r="A428" s="19" t="n"/>
      <c r="B428" s="20" t="inlineStr">
        <is>
          <t>4503-XH-DL-8903-8940-5001-GWR1-01_Rev0</t>
        </is>
      </c>
      <c r="C428" s="21" t="n">
        <v>0</v>
      </c>
      <c r="D428" s="21" t="n">
        <v>46232</v>
      </c>
      <c r="E428" s="20" t="inlineStr">
        <is>
          <t>IFC - ISSUED FOR CONSTRUCTION</t>
        </is>
      </c>
      <c r="F428" s="21" t="n">
        <v>8903</v>
      </c>
      <c r="G428" s="20" t="inlineStr">
        <is>
          <t>PIPE B36.10/36.19 A333 6-SMLS BE BE</t>
        </is>
      </c>
      <c r="H428" s="20" t="inlineStr">
        <is>
          <t>A333</t>
        </is>
      </c>
      <c r="I428" s="22" t="n">
        <v>6</v>
      </c>
      <c r="J428" s="21" t="inlineStr">
        <is>
          <t>STD</t>
        </is>
      </c>
      <c r="K428" s="20" t="inlineStr">
        <is>
          <t>I63649156</t>
        </is>
      </c>
      <c r="L428" s="22" t="n">
        <v>9</v>
      </c>
      <c r="M428" s="20">
        <f>IFERROR(LEFT(B428,SEARCH("_Rev",B428)-1),B428)</f>
        <v/>
      </c>
      <c r="N428" s="20">
        <f>IF(B428="","",IF(ISNUMBER(C428),IF(COUNTIFS($M$3:$M$1026,M428,$C$3:$C$1026,"&gt;"&amp;C428)=0,"CURRENT","SUPERSEDED"),"CURRENT"))</f>
        <v/>
      </c>
      <c r="O428" s="19" t="n"/>
    </row>
    <row r="429">
      <c r="A429" s="19" t="n"/>
      <c r="B429" s="20" t="inlineStr">
        <is>
          <t>4503-XH-DL-8903-8940-5001-GWS1-01_Rev0</t>
        </is>
      </c>
      <c r="C429" s="21" t="n">
        <v>0</v>
      </c>
      <c r="D429" s="21" t="n">
        <v>46234</v>
      </c>
      <c r="E429" s="20" t="inlineStr">
        <is>
          <t>IFC - ISSUED FOR CONSTRUCTION</t>
        </is>
      </c>
      <c r="F429" s="21" t="n">
        <v>8903</v>
      </c>
      <c r="G429" s="20" t="inlineStr">
        <is>
          <t>PIPE B36.10/36.19 A333 6-SMLS BE BE</t>
        </is>
      </c>
      <c r="H429" s="20" t="inlineStr">
        <is>
          <t>A333</t>
        </is>
      </c>
      <c r="I429" s="22" t="n">
        <v>8</v>
      </c>
      <c r="J429" s="21" t="inlineStr">
        <is>
          <t>STD</t>
        </is>
      </c>
      <c r="K429" s="20" t="inlineStr">
        <is>
          <t>I64108766</t>
        </is>
      </c>
      <c r="L429" s="22" t="n">
        <v>9.6</v>
      </c>
      <c r="M429" s="20">
        <f>IFERROR(LEFT(B429,SEARCH("_Rev",B429)-1),B429)</f>
        <v/>
      </c>
      <c r="N429" s="20">
        <f>IF(B429="","",IF(ISNUMBER(C429),IF(COUNTIFS($M$3:$M$1026,M429,$C$3:$C$1026,"&gt;"&amp;C429)=0,"CURRENT","SUPERSEDED"),"CURRENT"))</f>
        <v/>
      </c>
      <c r="O429" s="19" t="n"/>
    </row>
    <row r="430">
      <c r="A430" s="19" t="n"/>
      <c r="B430" s="20" t="inlineStr">
        <is>
          <t>4503-XH-DL-8903-8940-5007-GWR1-01_Rev0</t>
        </is>
      </c>
      <c r="C430" s="21" t="n">
        <v>0</v>
      </c>
      <c r="D430" s="21" t="n">
        <v>46230</v>
      </c>
      <c r="E430" s="20" t="inlineStr">
        <is>
          <t>IFC - ISSUED FOR CONSTRUCTION</t>
        </is>
      </c>
      <c r="F430" s="21" t="n">
        <v>8903</v>
      </c>
      <c r="G430" s="20" t="inlineStr">
        <is>
          <t>PIPE B36.10/36.19 A333 6-SMLS BE BE</t>
        </is>
      </c>
      <c r="H430" s="20" t="inlineStr">
        <is>
          <t>A333</t>
        </is>
      </c>
      <c r="I430" s="22" t="n">
        <v>10</v>
      </c>
      <c r="J430" s="21" t="inlineStr">
        <is>
          <t>STD</t>
        </is>
      </c>
      <c r="K430" s="20" t="inlineStr">
        <is>
          <t>I64108754</t>
        </is>
      </c>
      <c r="L430" s="22" t="n">
        <v>24.8</v>
      </c>
      <c r="M430" s="20">
        <f>IFERROR(LEFT(B430,SEARCH("_Rev",B430)-1),B430)</f>
        <v/>
      </c>
      <c r="N430" s="20">
        <f>IF(B430="","",IF(ISNUMBER(C430),IF(COUNTIFS($M$3:$M$1026,M430,$C$3:$C$1026,"&gt;"&amp;C430)=0,"CURRENT","SUPERSEDED"),"CURRENT"))</f>
        <v/>
      </c>
      <c r="O430" s="19" t="n"/>
    </row>
    <row r="431">
      <c r="A431" s="19" t="n"/>
      <c r="B431" s="20" t="inlineStr">
        <is>
          <t>4503-XH-DL-8903-8940-5007-GWR1-02_Rev0</t>
        </is>
      </c>
      <c r="C431" s="21" t="n">
        <v>0</v>
      </c>
      <c r="D431" s="21" t="n">
        <v>46230</v>
      </c>
      <c r="E431" s="20" t="inlineStr">
        <is>
          <t>IFC - ISSUED FOR CONSTRUCTION</t>
        </is>
      </c>
      <c r="F431" s="21" t="n">
        <v>8903</v>
      </c>
      <c r="G431" s="20" t="inlineStr">
        <is>
          <t>PIPE B36.10/36.19 A333 6-SMLS BE BE</t>
        </is>
      </c>
      <c r="H431" s="20" t="inlineStr">
        <is>
          <t>A333</t>
        </is>
      </c>
      <c r="I431" s="22" t="n">
        <v>10</v>
      </c>
      <c r="J431" s="21" t="inlineStr">
        <is>
          <t>STD</t>
        </is>
      </c>
      <c r="K431" s="20" t="inlineStr">
        <is>
          <t>I64108754</t>
        </is>
      </c>
      <c r="L431" s="22" t="n">
        <v>16.1</v>
      </c>
      <c r="M431" s="20">
        <f>IFERROR(LEFT(B431,SEARCH("_Rev",B431)-1),B431)</f>
        <v/>
      </c>
      <c r="N431" s="20">
        <f>IF(B431="","",IF(ISNUMBER(C431),IF(COUNTIFS($M$3:$M$1026,M431,$C$3:$C$1026,"&gt;"&amp;C431)=0,"CURRENT","SUPERSEDED"),"CURRENT"))</f>
        <v/>
      </c>
      <c r="O431" s="19" t="n"/>
    </row>
    <row r="432">
      <c r="A432" s="19" t="n"/>
      <c r="B432" s="20" t="inlineStr">
        <is>
          <t>4503-XH-DL-8903-8940-5007-GWR1-03_Rev0</t>
        </is>
      </c>
      <c r="C432" s="21" t="n">
        <v>0</v>
      </c>
      <c r="D432" s="21" t="n">
        <v>46230</v>
      </c>
      <c r="E432" s="20" t="inlineStr">
        <is>
          <t>IFC - ISSUED FOR CONSTRUCTION</t>
        </is>
      </c>
      <c r="F432" s="21" t="n">
        <v>8903</v>
      </c>
      <c r="G432" s="20" t="inlineStr">
        <is>
          <t>PIPE B36.10/36.19 A333 6-SMLS BE BE</t>
        </is>
      </c>
      <c r="H432" s="20" t="inlineStr">
        <is>
          <t>A333</t>
        </is>
      </c>
      <c r="I432" s="22" t="n">
        <v>10</v>
      </c>
      <c r="J432" s="21" t="inlineStr">
        <is>
          <t>STD</t>
        </is>
      </c>
      <c r="K432" s="20" t="inlineStr">
        <is>
          <t>I64108754</t>
        </is>
      </c>
      <c r="L432" s="22" t="n">
        <v>26.6</v>
      </c>
      <c r="M432" s="20">
        <f>IFERROR(LEFT(B432,SEARCH("_Rev",B432)-1),B432)</f>
        <v/>
      </c>
      <c r="N432" s="20">
        <f>IF(B432="","",IF(ISNUMBER(C432),IF(COUNTIFS($M$3:$M$1026,M432,$C$3:$C$1026,"&gt;"&amp;C432)=0,"CURRENT","SUPERSEDED"),"CURRENT"))</f>
        <v/>
      </c>
      <c r="O432" s="19" t="n"/>
    </row>
    <row r="433">
      <c r="A433" s="19" t="n"/>
      <c r="B433" s="20" t="inlineStr">
        <is>
          <t>4503-XH-DL-8903-8940-5007-GWR1-04_Rev0</t>
        </is>
      </c>
      <c r="C433" s="21" t="n">
        <v>0</v>
      </c>
      <c r="D433" s="21" t="n">
        <v>46230</v>
      </c>
      <c r="E433" s="20" t="inlineStr">
        <is>
          <t>IFC - ISSUED FOR CONSTRUCTION</t>
        </is>
      </c>
      <c r="F433" s="21" t="n">
        <v>8903</v>
      </c>
      <c r="G433" s="20" t="inlineStr">
        <is>
          <t>PIPE B36.10/36.19 A333 6-SMLS BE BE</t>
        </is>
      </c>
      <c r="H433" s="20" t="inlineStr">
        <is>
          <t>A333</t>
        </is>
      </c>
      <c r="I433" s="22" t="n">
        <v>10</v>
      </c>
      <c r="J433" s="21" t="inlineStr">
        <is>
          <t>STD</t>
        </is>
      </c>
      <c r="K433" s="20" t="inlineStr">
        <is>
          <t>I64108754</t>
        </is>
      </c>
      <c r="L433" s="22" t="n">
        <v>59.8</v>
      </c>
      <c r="M433" s="20">
        <f>IFERROR(LEFT(B433,SEARCH("_Rev",B433)-1),B433)</f>
        <v/>
      </c>
      <c r="N433" s="20">
        <f>IF(B433="","",IF(ISNUMBER(C433),IF(COUNTIFS($M$3:$M$1026,M433,$C$3:$C$1026,"&gt;"&amp;C433)=0,"CURRENT","SUPERSEDED"),"CURRENT"))</f>
        <v/>
      </c>
      <c r="O433" s="19" t="n"/>
    </row>
    <row r="434">
      <c r="A434" s="19" t="n"/>
      <c r="B434" s="20" t="inlineStr">
        <is>
          <t>4503-XH-DL-8903-8940-5007-GWR1-05_Rev0</t>
        </is>
      </c>
      <c r="C434" s="21" t="n">
        <v>0</v>
      </c>
      <c r="D434" s="21" t="n">
        <v>46230</v>
      </c>
      <c r="E434" s="20" t="inlineStr">
        <is>
          <t>IFC - ISSUED FOR CONSTRUCTION</t>
        </is>
      </c>
      <c r="F434" s="21" t="n">
        <v>8903</v>
      </c>
      <c r="G434" s="20" t="inlineStr">
        <is>
          <t>PIPE B36.10/36.19 A333 6-SMLS BE BE</t>
        </is>
      </c>
      <c r="H434" s="20" t="inlineStr">
        <is>
          <t>A333</t>
        </is>
      </c>
      <c r="I434" s="22" t="n">
        <v>10</v>
      </c>
      <c r="J434" s="21" t="inlineStr">
        <is>
          <t>STD</t>
        </is>
      </c>
      <c r="K434" s="20" t="inlineStr">
        <is>
          <t>I64108754</t>
        </is>
      </c>
      <c r="L434" s="22" t="n">
        <v>6.2</v>
      </c>
      <c r="M434" s="20">
        <f>IFERROR(LEFT(B434,SEARCH("_Rev",B434)-1),B434)</f>
        <v/>
      </c>
      <c r="N434" s="20">
        <f>IF(B434="","",IF(ISNUMBER(C434),IF(COUNTIFS($M$3:$M$1026,M434,$C$3:$C$1026,"&gt;"&amp;C434)=0,"CURRENT","SUPERSEDED"),"CURRENT"))</f>
        <v/>
      </c>
      <c r="O434" s="19" t="n"/>
    </row>
    <row r="435">
      <c r="A435" s="19" t="n"/>
      <c r="B435" s="20" t="inlineStr">
        <is>
          <t>4503-XH-DL-8903-8940-5007-GWR1-06_Rev0</t>
        </is>
      </c>
      <c r="C435" s="21" t="n">
        <v>0</v>
      </c>
      <c r="D435" s="21" t="n">
        <v>46230</v>
      </c>
      <c r="E435" s="20" t="inlineStr">
        <is>
          <t>IFC - ISSUED FOR CONSTRUCTION</t>
        </is>
      </c>
      <c r="F435" s="21" t="n">
        <v>8903</v>
      </c>
      <c r="G435" s="20" t="inlineStr">
        <is>
          <t>PIPE B36.10/36.19 A333 6-SMLS BE BE</t>
        </is>
      </c>
      <c r="H435" s="20" t="inlineStr">
        <is>
          <t>A333</t>
        </is>
      </c>
      <c r="I435" s="22" t="n">
        <v>10</v>
      </c>
      <c r="J435" s="21" t="inlineStr">
        <is>
          <t>STD</t>
        </is>
      </c>
      <c r="K435" s="20" t="inlineStr">
        <is>
          <t>I64108754</t>
        </is>
      </c>
      <c r="L435" s="22" t="n">
        <v>19.2</v>
      </c>
      <c r="M435" s="20">
        <f>IFERROR(LEFT(B435,SEARCH("_Rev",B435)-1),B435)</f>
        <v/>
      </c>
      <c r="N435" s="20">
        <f>IF(B435="","",IF(ISNUMBER(C435),IF(COUNTIFS($M$3:$M$1026,M435,$C$3:$C$1026,"&gt;"&amp;C435)=0,"CURRENT","SUPERSEDED"),"CURRENT"))</f>
        <v/>
      </c>
      <c r="O435" s="19" t="n"/>
    </row>
    <row r="436">
      <c r="A436" s="19" t="n"/>
      <c r="B436" s="20" t="inlineStr">
        <is>
          <t>4503-XH-DL-8903-8940-5007-GWR1-07_Rev0</t>
        </is>
      </c>
      <c r="C436" s="21" t="n">
        <v>0</v>
      </c>
      <c r="D436" s="21" t="n">
        <v>46230</v>
      </c>
      <c r="E436" s="20" t="inlineStr">
        <is>
          <t>IFC - ISSUED FOR CONSTRUCTION</t>
        </is>
      </c>
      <c r="F436" s="21" t="n">
        <v>8903</v>
      </c>
      <c r="G436" s="20" t="inlineStr">
        <is>
          <t>PIPE B36.10/36.19 A333 6-SMLS BE BE</t>
        </is>
      </c>
      <c r="H436" s="20" t="inlineStr">
        <is>
          <t>A333</t>
        </is>
      </c>
      <c r="I436" s="22" t="n">
        <v>10</v>
      </c>
      <c r="J436" s="21" t="inlineStr">
        <is>
          <t>STD</t>
        </is>
      </c>
      <c r="K436" s="20" t="inlineStr">
        <is>
          <t>I64108754</t>
        </is>
      </c>
      <c r="L436" s="22" t="n">
        <v>45.2</v>
      </c>
      <c r="M436" s="20">
        <f>IFERROR(LEFT(B436,SEARCH("_Rev",B436)-1),B436)</f>
        <v/>
      </c>
      <c r="N436" s="20">
        <f>IF(B436="","",IF(ISNUMBER(C436),IF(COUNTIFS($M$3:$M$1026,M436,$C$3:$C$1026,"&gt;"&amp;C436)=0,"CURRENT","SUPERSEDED"),"CURRENT"))</f>
        <v/>
      </c>
      <c r="O436" s="19" t="n"/>
    </row>
    <row r="437">
      <c r="A437" s="19" t="n"/>
      <c r="B437" s="20" t="inlineStr">
        <is>
          <t>4503-XH-DL-8903-8940-5007-GWR1-10_Rev0</t>
        </is>
      </c>
      <c r="C437" s="21" t="n">
        <v>0</v>
      </c>
      <c r="D437" s="21" t="n">
        <v>46232</v>
      </c>
      <c r="E437" s="20" t="inlineStr">
        <is>
          <t>IFI - ISSUED FOR INFORMATION</t>
        </is>
      </c>
      <c r="F437" s="21" t="n">
        <v>8903</v>
      </c>
      <c r="G437" s="20" t="inlineStr">
        <is>
          <t>PIPE B36.10/36.19 A333 6-SMLS PE PE</t>
        </is>
      </c>
      <c r="H437" s="20" t="inlineStr">
        <is>
          <t>A333</t>
        </is>
      </c>
      <c r="I437" s="22" t="n">
        <v>1</v>
      </c>
      <c r="J437" s="21" t="inlineStr">
        <is>
          <t>160</t>
        </is>
      </c>
      <c r="K437" s="20" t="inlineStr">
        <is>
          <t>I64108817</t>
        </is>
      </c>
      <c r="L437" s="22" t="n">
        <v>0.1</v>
      </c>
      <c r="M437" s="20">
        <f>IFERROR(LEFT(B437,SEARCH("_Rev",B437)-1),B437)</f>
        <v/>
      </c>
      <c r="N437" s="20">
        <f>IF(B437="","",IF(ISNUMBER(C437),IF(COUNTIFS($M$3:$M$1026,M437,$C$3:$C$1026,"&gt;"&amp;C437)=0,"CURRENT","SUPERSEDED"),"CURRENT"))</f>
        <v/>
      </c>
      <c r="O437" s="19" t="n"/>
    </row>
    <row r="438">
      <c r="A438" s="19" t="n"/>
      <c r="B438" s="20" t="inlineStr">
        <is>
          <t>4503-XH-DL-8903-8940-5007-GWR1-11_Rev0</t>
        </is>
      </c>
      <c r="C438" s="21" t="n">
        <v>0</v>
      </c>
      <c r="D438" s="21" t="n">
        <v>46232</v>
      </c>
      <c r="E438" s="20" t="inlineStr">
        <is>
          <t>IFI - ISSUED FOR INFORMATION</t>
        </is>
      </c>
      <c r="F438" s="21" t="n">
        <v>8903</v>
      </c>
      <c r="G438" s="20" t="inlineStr">
        <is>
          <t>PIPE B36.10/36.19 A333 6-SMLS PE PE</t>
        </is>
      </c>
      <c r="H438" s="20" t="inlineStr">
        <is>
          <t>A333</t>
        </is>
      </c>
      <c r="I438" s="22" t="n">
        <v>1</v>
      </c>
      <c r="J438" s="21" t="inlineStr">
        <is>
          <t>160</t>
        </is>
      </c>
      <c r="K438" s="20" t="inlineStr">
        <is>
          <t>I64108817</t>
        </is>
      </c>
      <c r="L438" s="22" t="n">
        <v>0.1</v>
      </c>
      <c r="M438" s="20">
        <f>IFERROR(LEFT(B438,SEARCH("_Rev",B438)-1),B438)</f>
        <v/>
      </c>
      <c r="N438" s="20">
        <f>IF(B438="","",IF(ISNUMBER(C438),IF(COUNTIFS($M$3:$M$1026,M438,$C$3:$C$1026,"&gt;"&amp;C438)=0,"CURRENT","SUPERSEDED"),"CURRENT"))</f>
        <v/>
      </c>
      <c r="O438" s="19" t="n"/>
    </row>
    <row r="439">
      <c r="A439" s="19" t="n"/>
      <c r="B439" s="20" t="inlineStr">
        <is>
          <t>4503-XH-DL-8903-8940-5007-GWS1-01_Rev0</t>
        </is>
      </c>
      <c r="C439" s="21" t="n">
        <v>0</v>
      </c>
      <c r="D439" s="21" t="n">
        <v>46234</v>
      </c>
      <c r="E439" s="20" t="inlineStr">
        <is>
          <t>IFC - ISSUED FOR CONSTRUCTION</t>
        </is>
      </c>
      <c r="F439" s="21" t="n">
        <v>8903</v>
      </c>
      <c r="G439" s="20" t="inlineStr">
        <is>
          <t>PIPE B36.10/36.19 A333 6-SMLS BE BE</t>
        </is>
      </c>
      <c r="H439" s="20" t="inlineStr">
        <is>
          <t>A333</t>
        </is>
      </c>
      <c r="I439" s="22" t="n">
        <v>6</v>
      </c>
      <c r="J439" s="21" t="inlineStr">
        <is>
          <t>STD</t>
        </is>
      </c>
      <c r="K439" s="20" t="inlineStr">
        <is>
          <t>I63649156</t>
        </is>
      </c>
      <c r="L439" s="22" t="n">
        <v>10</v>
      </c>
      <c r="M439" s="20">
        <f>IFERROR(LEFT(B439,SEARCH("_Rev",B439)-1),B439)</f>
        <v/>
      </c>
      <c r="N439" s="20">
        <f>IF(B439="","",IF(ISNUMBER(C439),IF(COUNTIFS($M$3:$M$1026,M439,$C$3:$C$1026,"&gt;"&amp;C439)=0,"CURRENT","SUPERSEDED"),"CURRENT"))</f>
        <v/>
      </c>
      <c r="O439" s="19" t="n"/>
    </row>
    <row r="440">
      <c r="A440" s="19" t="n"/>
      <c r="B440" s="20" t="inlineStr">
        <is>
          <t>4503-XH-DL-8903-8940-5008-GWR1-01_Rev0</t>
        </is>
      </c>
      <c r="C440" s="21" t="n">
        <v>0</v>
      </c>
      <c r="D440" s="21" t="n">
        <v>46232</v>
      </c>
      <c r="E440" s="20" t="inlineStr">
        <is>
          <t>IFC - ISSUED FOR CONSTRUCTION</t>
        </is>
      </c>
      <c r="F440" s="21" t="n">
        <v>8903</v>
      </c>
      <c r="G440" s="20" t="inlineStr">
        <is>
          <t>PIPE B36.10/36.19 A333 6-SMLS BE BE</t>
        </is>
      </c>
      <c r="H440" s="20" t="inlineStr">
        <is>
          <t>A333</t>
        </is>
      </c>
      <c r="I440" s="22" t="n">
        <v>8</v>
      </c>
      <c r="J440" s="21" t="inlineStr">
        <is>
          <t>STD</t>
        </is>
      </c>
      <c r="K440" s="20" t="inlineStr">
        <is>
          <t>I64108766</t>
        </is>
      </c>
      <c r="L440" s="22" t="n">
        <v>9.5</v>
      </c>
      <c r="M440" s="20">
        <f>IFERROR(LEFT(B440,SEARCH("_Rev",B440)-1),B440)</f>
        <v/>
      </c>
      <c r="N440" s="20">
        <f>IF(B440="","",IF(ISNUMBER(C440),IF(COUNTIFS($M$3:$M$1026,M440,$C$3:$C$1026,"&gt;"&amp;C440)=0,"CURRENT","SUPERSEDED"),"CURRENT"))</f>
        <v/>
      </c>
      <c r="O440" s="19" t="n"/>
    </row>
    <row r="441">
      <c r="A441" s="19" t="n"/>
      <c r="B441" s="20" t="inlineStr">
        <is>
          <t>4503-XH-DL-8903-8940-5009-GWS1-01_Rev0</t>
        </is>
      </c>
      <c r="C441" s="21" t="n">
        <v>0</v>
      </c>
      <c r="D441" s="21" t="n">
        <v>46230</v>
      </c>
      <c r="E441" s="20" t="inlineStr">
        <is>
          <t>IFC - ISSUED FOR CONSTRUCTION</t>
        </is>
      </c>
      <c r="F441" s="21" t="n">
        <v>8903</v>
      </c>
      <c r="G441" s="20" t="inlineStr">
        <is>
          <t>PIPE B36.10/36.19 A333 6-SMLS BE BE</t>
        </is>
      </c>
      <c r="H441" s="20" t="inlineStr">
        <is>
          <t>A333</t>
        </is>
      </c>
      <c r="I441" s="22" t="n">
        <v>10</v>
      </c>
      <c r="J441" s="21" t="inlineStr">
        <is>
          <t>STD</t>
        </is>
      </c>
      <c r="K441" s="20" t="inlineStr">
        <is>
          <t>I64108754</t>
        </is>
      </c>
      <c r="L441" s="22" t="n">
        <v>45.9</v>
      </c>
      <c r="M441" s="20">
        <f>IFERROR(LEFT(B441,SEARCH("_Rev",B441)-1),B441)</f>
        <v/>
      </c>
      <c r="N441" s="20">
        <f>IF(B441="","",IF(ISNUMBER(C441),IF(COUNTIFS($M$3:$M$1026,M441,$C$3:$C$1026,"&gt;"&amp;C441)=0,"CURRENT","SUPERSEDED"),"CURRENT"))</f>
        <v/>
      </c>
      <c r="O441" s="19" t="n"/>
    </row>
    <row r="442">
      <c r="A442" s="19" t="n"/>
      <c r="B442" s="20" t="inlineStr">
        <is>
          <t>4503-XH-DL-8903-8940-5009-GWS1-02_Rev0</t>
        </is>
      </c>
      <c r="C442" s="21" t="n">
        <v>0</v>
      </c>
      <c r="D442" s="21" t="n">
        <v>46230</v>
      </c>
      <c r="E442" s="20" t="inlineStr">
        <is>
          <t>IFC - ISSUED FOR CONSTRUCTION</t>
        </is>
      </c>
      <c r="F442" s="21" t="n">
        <v>8903</v>
      </c>
      <c r="G442" s="20" t="inlineStr">
        <is>
          <t>PIPE B36.10/36.19 A333 6-SMLS BE BE</t>
        </is>
      </c>
      <c r="H442" s="20" t="inlineStr">
        <is>
          <t>A333</t>
        </is>
      </c>
      <c r="I442" s="22" t="n">
        <v>10</v>
      </c>
      <c r="J442" s="21" t="inlineStr">
        <is>
          <t>STD</t>
        </is>
      </c>
      <c r="K442" s="20" t="inlineStr">
        <is>
          <t>I64108754</t>
        </is>
      </c>
      <c r="L442" s="22" t="n">
        <v>59.8</v>
      </c>
      <c r="M442" s="20">
        <f>IFERROR(LEFT(B442,SEARCH("_Rev",B442)-1),B442)</f>
        <v/>
      </c>
      <c r="N442" s="20">
        <f>IF(B442="","",IF(ISNUMBER(C442),IF(COUNTIFS($M$3:$M$1026,M442,$C$3:$C$1026,"&gt;"&amp;C442)=0,"CURRENT","SUPERSEDED"),"CURRENT"))</f>
        <v/>
      </c>
      <c r="O442" s="19" t="n"/>
    </row>
    <row r="443">
      <c r="A443" s="19" t="n"/>
      <c r="B443" s="20" t="inlineStr">
        <is>
          <t>4503-XH-DL-8903-8940-5009-GWS1-03_Rev0</t>
        </is>
      </c>
      <c r="C443" s="21" t="n">
        <v>0</v>
      </c>
      <c r="D443" s="21" t="n">
        <v>46230</v>
      </c>
      <c r="E443" s="20" t="inlineStr">
        <is>
          <t>IFC - ISSUED FOR CONSTRUCTION</t>
        </is>
      </c>
      <c r="F443" s="21" t="n">
        <v>8903</v>
      </c>
      <c r="G443" s="20" t="inlineStr">
        <is>
          <t>PIPE B36.10/36.19 A333 6-SMLS BE BE</t>
        </is>
      </c>
      <c r="H443" s="20" t="inlineStr">
        <is>
          <t>A333</t>
        </is>
      </c>
      <c r="I443" s="22" t="n">
        <v>10</v>
      </c>
      <c r="J443" s="21" t="inlineStr">
        <is>
          <t>STD</t>
        </is>
      </c>
      <c r="K443" s="20" t="inlineStr">
        <is>
          <t>I64108754</t>
        </is>
      </c>
      <c r="L443" s="22" t="n">
        <v>26</v>
      </c>
      <c r="M443" s="20">
        <f>IFERROR(LEFT(B443,SEARCH("_Rev",B443)-1),B443)</f>
        <v/>
      </c>
      <c r="N443" s="20">
        <f>IF(B443="","",IF(ISNUMBER(C443),IF(COUNTIFS($M$3:$M$1026,M443,$C$3:$C$1026,"&gt;"&amp;C443)=0,"CURRENT","SUPERSEDED"),"CURRENT"))</f>
        <v/>
      </c>
      <c r="O443" s="19" t="n"/>
    </row>
    <row r="444">
      <c r="A444" s="19" t="n"/>
      <c r="B444" s="20" t="inlineStr">
        <is>
          <t>4503-XH-DL-8903-8940-5009-GWS1-04_Rev0</t>
        </is>
      </c>
      <c r="C444" s="21" t="n">
        <v>0</v>
      </c>
      <c r="D444" s="21" t="n">
        <v>46230</v>
      </c>
      <c r="E444" s="20" t="inlineStr">
        <is>
          <t>IFC - ISSUED FOR CONSTRUCTION</t>
        </is>
      </c>
      <c r="F444" s="21" t="n">
        <v>8903</v>
      </c>
      <c r="G444" s="20" t="inlineStr">
        <is>
          <t>PIPE B36.10/36.19 A333 6-SMLS BE BE</t>
        </is>
      </c>
      <c r="H444" s="20" t="inlineStr">
        <is>
          <t>A333</t>
        </is>
      </c>
      <c r="I444" s="22" t="n">
        <v>10</v>
      </c>
      <c r="J444" s="21" t="inlineStr">
        <is>
          <t>STD</t>
        </is>
      </c>
      <c r="K444" s="20" t="inlineStr">
        <is>
          <t>I64108754</t>
        </is>
      </c>
      <c r="L444" s="22" t="n">
        <v>18</v>
      </c>
      <c r="M444" s="20">
        <f>IFERROR(LEFT(B444,SEARCH("_Rev",B444)-1),B444)</f>
        <v/>
      </c>
      <c r="N444" s="20">
        <f>IF(B444="","",IF(ISNUMBER(C444),IF(COUNTIFS($M$3:$M$1026,M444,$C$3:$C$1026,"&gt;"&amp;C444)=0,"CURRENT","SUPERSEDED"),"CURRENT"))</f>
        <v/>
      </c>
      <c r="O444" s="19" t="n"/>
    </row>
    <row r="445">
      <c r="A445" s="19" t="n"/>
      <c r="B445" s="20" t="inlineStr">
        <is>
          <t>4503-XH-DL-8903-8940-5009-GWS1-05_Rev0</t>
        </is>
      </c>
      <c r="C445" s="21" t="n">
        <v>0</v>
      </c>
      <c r="D445" s="21" t="n">
        <v>46230</v>
      </c>
      <c r="E445" s="20" t="inlineStr">
        <is>
          <t>IFC - ISSUED FOR CONSTRUCTION</t>
        </is>
      </c>
      <c r="F445" s="21" t="n">
        <v>8903</v>
      </c>
      <c r="G445" s="20" t="inlineStr">
        <is>
          <t>PIPE B36.10/36.19 A333 6-SMLS BE BE</t>
        </is>
      </c>
      <c r="H445" s="20" t="inlineStr">
        <is>
          <t>A333</t>
        </is>
      </c>
      <c r="I445" s="22" t="n">
        <v>10</v>
      </c>
      <c r="J445" s="21" t="inlineStr">
        <is>
          <t>STD</t>
        </is>
      </c>
      <c r="K445" s="20" t="inlineStr">
        <is>
          <t>I64108754</t>
        </is>
      </c>
      <c r="L445" s="22" t="n">
        <v>6.8</v>
      </c>
      <c r="M445" s="20">
        <f>IFERROR(LEFT(B445,SEARCH("_Rev",B445)-1),B445)</f>
        <v/>
      </c>
      <c r="N445" s="20">
        <f>IF(B445="","",IF(ISNUMBER(C445),IF(COUNTIFS($M$3:$M$1026,M445,$C$3:$C$1026,"&gt;"&amp;C445)=0,"CURRENT","SUPERSEDED"),"CURRENT"))</f>
        <v/>
      </c>
      <c r="O445" s="19" t="n"/>
    </row>
    <row r="446">
      <c r="A446" s="19" t="n"/>
      <c r="B446" s="20" t="inlineStr">
        <is>
          <t>4503-XH-DL-8903-8940-5009-GWS1-06_Rev0</t>
        </is>
      </c>
      <c r="C446" s="21" t="n">
        <v>0</v>
      </c>
      <c r="D446" s="21" t="n">
        <v>46230</v>
      </c>
      <c r="E446" s="20" t="inlineStr">
        <is>
          <t>IFC - ISSUED FOR CONSTRUCTION</t>
        </is>
      </c>
      <c r="F446" s="21" t="n">
        <v>8903</v>
      </c>
      <c r="G446" s="20" t="inlineStr">
        <is>
          <t>PIPE B36.10/36.19 A333 6-SMLS BE BE</t>
        </is>
      </c>
      <c r="H446" s="20" t="inlineStr">
        <is>
          <t>A333</t>
        </is>
      </c>
      <c r="I446" s="22" t="n">
        <v>10</v>
      </c>
      <c r="J446" s="21" t="inlineStr">
        <is>
          <t>STD</t>
        </is>
      </c>
      <c r="K446" s="20" t="inlineStr">
        <is>
          <t>I64108754</t>
        </is>
      </c>
      <c r="L446" s="22" t="n">
        <v>17.4</v>
      </c>
      <c r="M446" s="20">
        <f>IFERROR(LEFT(B446,SEARCH("_Rev",B446)-1),B446)</f>
        <v/>
      </c>
      <c r="N446" s="20">
        <f>IF(B446="","",IF(ISNUMBER(C446),IF(COUNTIFS($M$3:$M$1026,M446,$C$3:$C$1026,"&gt;"&amp;C446)=0,"CURRENT","SUPERSEDED"),"CURRENT"))</f>
        <v/>
      </c>
      <c r="O446" s="19" t="n"/>
    </row>
    <row r="447">
      <c r="A447" s="19" t="n"/>
      <c r="B447" s="20" t="inlineStr">
        <is>
          <t>4503-XH-DL-8903-8940-5009-GWS1-07_Rev0</t>
        </is>
      </c>
      <c r="C447" s="21" t="n">
        <v>0</v>
      </c>
      <c r="D447" s="21" t="n">
        <v>46230</v>
      </c>
      <c r="E447" s="20" t="inlineStr">
        <is>
          <t>IFC - ISSUED FOR CONSTRUCTION</t>
        </is>
      </c>
      <c r="F447" s="21" t="n">
        <v>8903</v>
      </c>
      <c r="G447" s="20" t="inlineStr">
        <is>
          <t>PIPE B36.10/36.19 A333 6-SMLS BE BE</t>
        </is>
      </c>
      <c r="H447" s="20" t="inlineStr">
        <is>
          <t>A333</t>
        </is>
      </c>
      <c r="I447" s="22" t="n">
        <v>10</v>
      </c>
      <c r="J447" s="21" t="inlineStr">
        <is>
          <t>STD</t>
        </is>
      </c>
      <c r="K447" s="20" t="inlineStr">
        <is>
          <t>I64108754</t>
        </is>
      </c>
      <c r="L447" s="22" t="n">
        <v>24.2</v>
      </c>
      <c r="M447" s="20">
        <f>IFERROR(LEFT(B447,SEARCH("_Rev",B447)-1),B447)</f>
        <v/>
      </c>
      <c r="N447" s="20">
        <f>IF(B447="","",IF(ISNUMBER(C447),IF(COUNTIFS($M$3:$M$1026,M447,$C$3:$C$1026,"&gt;"&amp;C447)=0,"CURRENT","SUPERSEDED"),"CURRENT"))</f>
        <v/>
      </c>
      <c r="O447" s="19" t="n"/>
    </row>
    <row r="448">
      <c r="A448" s="19" t="n"/>
      <c r="B448" s="20" t="inlineStr">
        <is>
          <t>4503-XH-DL-8903-8940-5009-GWS1-09_Rev0</t>
        </is>
      </c>
      <c r="C448" s="21" t="n">
        <v>0</v>
      </c>
      <c r="D448" s="21" t="n">
        <v>46230</v>
      </c>
      <c r="E448" s="20" t="inlineStr">
        <is>
          <t>IFI - ISSUED FOR INFORMATION</t>
        </is>
      </c>
      <c r="F448" s="21" t="n">
        <v>8903</v>
      </c>
      <c r="G448" s="20" t="inlineStr">
        <is>
          <t>PIPE B36.10/36.19 A333 6-SMLS PE PE</t>
        </is>
      </c>
      <c r="H448" s="20" t="inlineStr">
        <is>
          <t>A333</t>
        </is>
      </c>
      <c r="I448" s="22" t="n">
        <v>1</v>
      </c>
      <c r="J448" s="21" t="inlineStr">
        <is>
          <t>160</t>
        </is>
      </c>
      <c r="K448" s="20" t="inlineStr">
        <is>
          <t>I64108817</t>
        </is>
      </c>
      <c r="L448" s="22" t="n">
        <v>0.1</v>
      </c>
      <c r="M448" s="20">
        <f>IFERROR(LEFT(B448,SEARCH("_Rev",B448)-1),B448)</f>
        <v/>
      </c>
      <c r="N448" s="20">
        <f>IF(B448="","",IF(ISNUMBER(C448),IF(COUNTIFS($M$3:$M$1026,M448,$C$3:$C$1026,"&gt;"&amp;C448)=0,"CURRENT","SUPERSEDED"),"CURRENT"))</f>
        <v/>
      </c>
      <c r="O448" s="19" t="n"/>
    </row>
    <row r="449">
      <c r="A449" s="19" t="n"/>
      <c r="B449" s="20" t="inlineStr">
        <is>
          <t>4503-XH-DL-8903-8940-5009-GWS1-11_Rev0</t>
        </is>
      </c>
      <c r="C449" s="21" t="n">
        <v>0</v>
      </c>
      <c r="D449" s="21" t="n">
        <v>46230</v>
      </c>
      <c r="E449" s="20" t="inlineStr">
        <is>
          <t>IFI - ISSUED FOR INFORMATION</t>
        </is>
      </c>
      <c r="F449" s="21" t="n">
        <v>8903</v>
      </c>
      <c r="G449" s="20" t="inlineStr">
        <is>
          <t>PIPE B36.10/36.19 A333 6-SMLS PE PE</t>
        </is>
      </c>
      <c r="H449" s="20" t="inlineStr">
        <is>
          <t>A333</t>
        </is>
      </c>
      <c r="I449" s="22" t="n">
        <v>1</v>
      </c>
      <c r="J449" s="21" t="inlineStr">
        <is>
          <t>160</t>
        </is>
      </c>
      <c r="K449" s="20" t="inlineStr">
        <is>
          <t>I64108817</t>
        </is>
      </c>
      <c r="L449" s="22" t="n">
        <v>0.1</v>
      </c>
      <c r="M449" s="20">
        <f>IFERROR(LEFT(B449,SEARCH("_Rev",B449)-1),B449)</f>
        <v/>
      </c>
      <c r="N449" s="20">
        <f>IF(B449="","",IF(ISNUMBER(C449),IF(COUNTIFS($M$3:$M$1026,M449,$C$3:$C$1026,"&gt;"&amp;C449)=0,"CURRENT","SUPERSEDED"),"CURRENT"))</f>
        <v/>
      </c>
      <c r="O449" s="19" t="n"/>
    </row>
    <row r="450">
      <c r="A450" s="19" t="n"/>
      <c r="B450" s="20" t="inlineStr">
        <is>
          <t>4503-XH-DL-8903-8941-5001-HWR1-01_Rev0</t>
        </is>
      </c>
      <c r="C450" s="21" t="n">
        <v>0</v>
      </c>
      <c r="D450" s="21" t="n">
        <v>46232</v>
      </c>
      <c r="E450" s="20" t="inlineStr">
        <is>
          <t>IFC - ISSUED FOR CONSTRUCTION</t>
        </is>
      </c>
      <c r="F450" s="21" t="n">
        <v>8903</v>
      </c>
      <c r="G450" s="20" t="inlineStr">
        <is>
          <t>PIPE B36.10/36.19 A333 6-SMLS BE BE</t>
        </is>
      </c>
      <c r="H450" s="20" t="inlineStr">
        <is>
          <t>A333</t>
        </is>
      </c>
      <c r="I450" s="22" t="n">
        <v>8</v>
      </c>
      <c r="J450" s="21" t="inlineStr">
        <is>
          <t>STD</t>
        </is>
      </c>
      <c r="K450" s="20" t="inlineStr">
        <is>
          <t>I64108766</t>
        </is>
      </c>
      <c r="L450" s="22" t="n">
        <v>15.5</v>
      </c>
      <c r="M450" s="20">
        <f>IFERROR(LEFT(B450,SEARCH("_Rev",B450)-1),B450)</f>
        <v/>
      </c>
      <c r="N450" s="20">
        <f>IF(B450="","",IF(ISNUMBER(C450),IF(COUNTIFS($M$3:$M$1026,M450,$C$3:$C$1026,"&gt;"&amp;C450)=0,"CURRENT","SUPERSEDED"),"CURRENT"))</f>
        <v/>
      </c>
      <c r="O450" s="19" t="n"/>
    </row>
    <row r="451">
      <c r="A451" s="19" t="n"/>
      <c r="B451" s="20" t="inlineStr">
        <is>
          <t>4503-XH-DL-8903-8941-5003-HWR1-01_Rev0</t>
        </is>
      </c>
      <c r="C451" s="21" t="n">
        <v>0</v>
      </c>
      <c r="D451" s="21" t="n">
        <v>46232</v>
      </c>
      <c r="E451" s="20" t="inlineStr">
        <is>
          <t>IFC - ISSUED FOR CONSTRUCTION</t>
        </is>
      </c>
      <c r="F451" s="21" t="n">
        <v>8903</v>
      </c>
      <c r="G451" s="20" t="inlineStr">
        <is>
          <t>PIPE B36.10/36.19 A333 6-SMLS BE BE</t>
        </is>
      </c>
      <c r="H451" s="20" t="inlineStr">
        <is>
          <t>A333</t>
        </is>
      </c>
      <c r="I451" s="22" t="n">
        <v>16</v>
      </c>
      <c r="J451" s="21" t="inlineStr">
        <is>
          <t>STD</t>
        </is>
      </c>
      <c r="K451" s="20" t="inlineStr">
        <is>
          <t>I65585719</t>
        </is>
      </c>
      <c r="L451" s="22" t="n">
        <v>44.6</v>
      </c>
      <c r="M451" s="20">
        <f>IFERROR(LEFT(B451,SEARCH("_Rev",B451)-1),B451)</f>
        <v/>
      </c>
      <c r="N451" s="20">
        <f>IF(B451="","",IF(ISNUMBER(C451),IF(COUNTIFS($M$3:$M$1026,M451,$C$3:$C$1026,"&gt;"&amp;C451)=0,"CURRENT","SUPERSEDED"),"CURRENT"))</f>
        <v/>
      </c>
      <c r="O451" s="19" t="n"/>
    </row>
    <row r="452">
      <c r="A452" s="19" t="n"/>
      <c r="B452" s="20" t="inlineStr">
        <is>
          <t>4503-XH-DL-8903-8941-5003-HWR1-02_Rev0</t>
        </is>
      </c>
      <c r="C452" s="21" t="n">
        <v>0</v>
      </c>
      <c r="D452" s="21" t="n">
        <v>46232</v>
      </c>
      <c r="E452" s="20" t="inlineStr">
        <is>
          <t>IFC - ISSUED FOR CONSTRUCTION</t>
        </is>
      </c>
      <c r="F452" s="21" t="n">
        <v>8903</v>
      </c>
      <c r="G452" s="20" t="inlineStr">
        <is>
          <t>PIPE B36.10/36.19 A333 6-SMLS BE BE</t>
        </is>
      </c>
      <c r="H452" s="20" t="inlineStr">
        <is>
          <t>A333</t>
        </is>
      </c>
      <c r="I452" s="22" t="n">
        <v>16</v>
      </c>
      <c r="J452" s="21" t="inlineStr">
        <is>
          <t>STD</t>
        </is>
      </c>
      <c r="K452" s="20" t="inlineStr">
        <is>
          <t>I65585719</t>
        </is>
      </c>
      <c r="L452" s="22" t="n">
        <v>59.5</v>
      </c>
      <c r="M452" s="20">
        <f>IFERROR(LEFT(B452,SEARCH("_Rev",B452)-1),B452)</f>
        <v/>
      </c>
      <c r="N452" s="20">
        <f>IF(B452="","",IF(ISNUMBER(C452),IF(COUNTIFS($M$3:$M$1026,M452,$C$3:$C$1026,"&gt;"&amp;C452)=0,"CURRENT","SUPERSEDED"),"CURRENT"))</f>
        <v/>
      </c>
      <c r="O452" s="19" t="n"/>
    </row>
    <row r="453">
      <c r="A453" s="19" t="n"/>
      <c r="B453" s="20" t="inlineStr">
        <is>
          <t>4503-XH-DL-8903-8941-5003-HWR1-03_Rev0</t>
        </is>
      </c>
      <c r="C453" s="21" t="n">
        <v>0</v>
      </c>
      <c r="D453" s="21" t="n">
        <v>46232</v>
      </c>
      <c r="E453" s="20" t="inlineStr">
        <is>
          <t>IFC - ISSUED FOR CONSTRUCTION</t>
        </is>
      </c>
      <c r="F453" s="21" t="n">
        <v>8903</v>
      </c>
      <c r="G453" s="20" t="inlineStr">
        <is>
          <t>PIPE B36.10/36.19 A333 6-SMLS BE BE</t>
        </is>
      </c>
      <c r="H453" s="20" t="inlineStr">
        <is>
          <t>A333</t>
        </is>
      </c>
      <c r="I453" s="22" t="n">
        <v>16</v>
      </c>
      <c r="J453" s="21" t="inlineStr">
        <is>
          <t>STD</t>
        </is>
      </c>
      <c r="K453" s="20" t="inlineStr">
        <is>
          <t>I65585719</t>
        </is>
      </c>
      <c r="L453" s="22" t="n">
        <v>7.6</v>
      </c>
      <c r="M453" s="20">
        <f>IFERROR(LEFT(B453,SEARCH("_Rev",B453)-1),B453)</f>
        <v/>
      </c>
      <c r="N453" s="20">
        <f>IF(B453="","",IF(ISNUMBER(C453),IF(COUNTIFS($M$3:$M$1026,M453,$C$3:$C$1026,"&gt;"&amp;C453)=0,"CURRENT","SUPERSEDED"),"CURRENT"))</f>
        <v/>
      </c>
      <c r="O453" s="19" t="n"/>
    </row>
    <row r="454">
      <c r="A454" s="19" t="n"/>
      <c r="B454" s="20" t="inlineStr">
        <is>
          <t>4503-XH-DL-8903-8941-5003-HWR1-03_Rev0</t>
        </is>
      </c>
      <c r="C454" s="21" t="n">
        <v>0</v>
      </c>
      <c r="D454" s="21" t="n">
        <v>46232</v>
      </c>
      <c r="E454" s="20" t="inlineStr">
        <is>
          <t>IFC - ISSUED FOR CONSTRUCTION</t>
        </is>
      </c>
      <c r="F454" s="21" t="n">
        <v>8903</v>
      </c>
      <c r="G454" s="20" t="inlineStr">
        <is>
          <t>PIPE B36.10/36.19 A333 6-SMLS BE BE</t>
        </is>
      </c>
      <c r="H454" s="20" t="inlineStr">
        <is>
          <t>A333</t>
        </is>
      </c>
      <c r="I454" s="22" t="n">
        <v>14</v>
      </c>
      <c r="J454" s="21" t="inlineStr">
        <is>
          <t>STD</t>
        </is>
      </c>
      <c r="K454" s="20" t="inlineStr">
        <is>
          <t>I63649172</t>
        </is>
      </c>
      <c r="L454" s="22" t="n">
        <v>16.6</v>
      </c>
      <c r="M454" s="20">
        <f>IFERROR(LEFT(B454,SEARCH("_Rev",B454)-1),B454)</f>
        <v/>
      </c>
      <c r="N454" s="20">
        <f>IF(B454="","",IF(ISNUMBER(C454),IF(COUNTIFS($M$3:$M$1026,M454,$C$3:$C$1026,"&gt;"&amp;C454)=0,"CURRENT","SUPERSEDED"),"CURRENT"))</f>
        <v/>
      </c>
      <c r="O454" s="19" t="n"/>
    </row>
    <row r="455">
      <c r="A455" s="19" t="n"/>
      <c r="B455" s="20" t="inlineStr">
        <is>
          <t>4503-XH-DL-8903-8941-5003-HWR1-04_Rev0</t>
        </is>
      </c>
      <c r="C455" s="21" t="n">
        <v>0</v>
      </c>
      <c r="D455" s="21" t="n">
        <v>46227</v>
      </c>
      <c r="E455" s="20" t="inlineStr">
        <is>
          <t>IFC - ISSUED FOR CONSTRUCTION</t>
        </is>
      </c>
      <c r="F455" s="21" t="n">
        <v>8903</v>
      </c>
      <c r="G455" s="20" t="inlineStr">
        <is>
          <t>PIPE B36.10/36.19 A333 6-SMLS BE BE</t>
        </is>
      </c>
      <c r="H455" s="20" t="inlineStr">
        <is>
          <t>A333</t>
        </is>
      </c>
      <c r="I455" s="22" t="n">
        <v>16</v>
      </c>
      <c r="J455" s="21" t="inlineStr">
        <is>
          <t>STD</t>
        </is>
      </c>
      <c r="K455" s="20" t="inlineStr">
        <is>
          <t>I65585719</t>
        </is>
      </c>
      <c r="L455" s="22" t="n">
        <v>31.3</v>
      </c>
      <c r="M455" s="20">
        <f>IFERROR(LEFT(B455,SEARCH("_Rev",B455)-1),B455)</f>
        <v/>
      </c>
      <c r="N455" s="20">
        <f>IF(B455="","",IF(ISNUMBER(C455),IF(COUNTIFS($M$3:$M$1026,M455,$C$3:$C$1026,"&gt;"&amp;C455)=0,"CURRENT","SUPERSEDED"),"CURRENT"))</f>
        <v/>
      </c>
      <c r="O455" s="19" t="n"/>
    </row>
    <row r="456">
      <c r="A456" s="19" t="n"/>
      <c r="B456" s="20" t="inlineStr">
        <is>
          <t>4503-XH-DL-8903-8941-5003-HWR1-05_Rev0</t>
        </is>
      </c>
      <c r="C456" s="21" t="n">
        <v>0</v>
      </c>
      <c r="D456" s="21" t="n">
        <v>46227</v>
      </c>
      <c r="E456" s="20" t="inlineStr">
        <is>
          <t>IFC - ISSUED FOR CONSTRUCTION</t>
        </is>
      </c>
      <c r="F456" s="21" t="n">
        <v>8903</v>
      </c>
      <c r="G456" s="20" t="inlineStr">
        <is>
          <t>PIPE B36.10/36.19 A333 6-SMLS BE BE</t>
        </is>
      </c>
      <c r="H456" s="20" t="inlineStr">
        <is>
          <t>A333</t>
        </is>
      </c>
      <c r="I456" s="22" t="n">
        <v>14</v>
      </c>
      <c r="J456" s="21" t="inlineStr">
        <is>
          <t>STD</t>
        </is>
      </c>
      <c r="K456" s="20" t="inlineStr">
        <is>
          <t>I63649172</t>
        </is>
      </c>
      <c r="L456" s="22" t="n">
        <v>27.8</v>
      </c>
      <c r="M456" s="20">
        <f>IFERROR(LEFT(B456,SEARCH("_Rev",B456)-1),B456)</f>
        <v/>
      </c>
      <c r="N456" s="20">
        <f>IF(B456="","",IF(ISNUMBER(C456),IF(COUNTIFS($M$3:$M$1026,M456,$C$3:$C$1026,"&gt;"&amp;C456)=0,"CURRENT","SUPERSEDED"),"CURRENT"))</f>
        <v/>
      </c>
      <c r="O456" s="19" t="n"/>
    </row>
    <row r="457">
      <c r="A457" s="19" t="n"/>
      <c r="B457" s="20" t="inlineStr">
        <is>
          <t>4503-XH-DL-8903-8941-5003-HWR1-06_Rev0</t>
        </is>
      </c>
      <c r="C457" s="21" t="n">
        <v>0</v>
      </c>
      <c r="D457" s="21" t="n">
        <v>46227</v>
      </c>
      <c r="E457" s="20" t="inlineStr">
        <is>
          <t>IFC - ISSUED FOR CONSTRUCTION</t>
        </is>
      </c>
      <c r="F457" s="21" t="n">
        <v>8903</v>
      </c>
      <c r="G457" s="20" t="inlineStr">
        <is>
          <t>PIPE B36.10/36.19 A333 6-SMLS BE BE</t>
        </is>
      </c>
      <c r="H457" s="20" t="inlineStr">
        <is>
          <t>A333</t>
        </is>
      </c>
      <c r="I457" s="22" t="n">
        <v>14</v>
      </c>
      <c r="J457" s="21" t="inlineStr">
        <is>
          <t>STD</t>
        </is>
      </c>
      <c r="K457" s="20" t="inlineStr">
        <is>
          <t>I63649172</t>
        </is>
      </c>
      <c r="L457" s="22" t="n">
        <v>22</v>
      </c>
      <c r="M457" s="20">
        <f>IFERROR(LEFT(B457,SEARCH("_Rev",B457)-1),B457)</f>
        <v/>
      </c>
      <c r="N457" s="20">
        <f>IF(B457="","",IF(ISNUMBER(C457),IF(COUNTIFS($M$3:$M$1026,M457,$C$3:$C$1026,"&gt;"&amp;C457)=0,"CURRENT","SUPERSEDED"),"CURRENT"))</f>
        <v/>
      </c>
      <c r="O457" s="19" t="n"/>
    </row>
    <row r="458">
      <c r="A458" s="19" t="n"/>
      <c r="B458" s="20" t="inlineStr">
        <is>
          <t>4503-XH-DL-8903-8941-5003-HWR1-07_Rev0</t>
        </is>
      </c>
      <c r="C458" s="21" t="n">
        <v>0</v>
      </c>
      <c r="D458" s="21" t="n">
        <v>46227</v>
      </c>
      <c r="E458" s="20" t="inlineStr">
        <is>
          <t>IFI - ISSUED FOR INFORMATION</t>
        </is>
      </c>
      <c r="F458" s="21" t="n">
        <v>8903</v>
      </c>
      <c r="G458" s="20" t="inlineStr">
        <is>
          <t>PIPE B36.10/36.19 A333 6-SMLS PE PE</t>
        </is>
      </c>
      <c r="H458" s="20" t="inlineStr">
        <is>
          <t>A333</t>
        </is>
      </c>
      <c r="I458" s="22" t="n">
        <v>1</v>
      </c>
      <c r="J458" s="21" t="inlineStr">
        <is>
          <t>XS</t>
        </is>
      </c>
      <c r="K458" s="20" t="inlineStr">
        <is>
          <t>I63649231</t>
        </is>
      </c>
      <c r="L458" s="22" t="n">
        <v>0.2</v>
      </c>
      <c r="M458" s="20">
        <f>IFERROR(LEFT(B458,SEARCH("_Rev",B458)-1),B458)</f>
        <v/>
      </c>
      <c r="N458" s="20">
        <f>IF(B458="","",IF(ISNUMBER(C458),IF(COUNTIFS($M$3:$M$1026,M458,$C$3:$C$1026,"&gt;"&amp;C458)=0,"CURRENT","SUPERSEDED"),"CURRENT"))</f>
        <v/>
      </c>
      <c r="O458" s="19" t="n"/>
    </row>
    <row r="459">
      <c r="A459" s="19" t="n"/>
      <c r="B459" s="20" t="inlineStr">
        <is>
          <t>4503-XH-DL-8903-8941-5003-HWR1-08_Rev0</t>
        </is>
      </c>
      <c r="C459" s="21" t="n">
        <v>0</v>
      </c>
      <c r="D459" s="21" t="n">
        <v>46227</v>
      </c>
      <c r="E459" s="20" t="inlineStr">
        <is>
          <t>IFI - ISSUED FOR INFORMATION</t>
        </is>
      </c>
      <c r="F459" s="21" t="n">
        <v>8903</v>
      </c>
      <c r="G459" s="20" t="inlineStr">
        <is>
          <t>PIPE B36.10/36.19 A333 6-SMLS PE PE</t>
        </is>
      </c>
      <c r="H459" s="20" t="inlineStr">
        <is>
          <t>A333</t>
        </is>
      </c>
      <c r="I459" s="22" t="n">
        <v>1</v>
      </c>
      <c r="J459" s="21" t="inlineStr">
        <is>
          <t>XS</t>
        </is>
      </c>
      <c r="K459" s="20" t="inlineStr">
        <is>
          <t>I63649231</t>
        </is>
      </c>
      <c r="L459" s="22" t="n">
        <v>0.2</v>
      </c>
      <c r="M459" s="20">
        <f>IFERROR(LEFT(B459,SEARCH("_Rev",B459)-1),B459)</f>
        <v/>
      </c>
      <c r="N459" s="20">
        <f>IF(B459="","",IF(ISNUMBER(C459),IF(COUNTIFS($M$3:$M$1026,M459,$C$3:$C$1026,"&gt;"&amp;C459)=0,"CURRENT","SUPERSEDED"),"CURRENT"))</f>
        <v/>
      </c>
      <c r="O459" s="19" t="n"/>
    </row>
    <row r="460">
      <c r="A460" s="19" t="n"/>
      <c r="B460" s="20" t="inlineStr">
        <is>
          <t>4503-XH-DL-8903-8941-5003-HWS1-01_Rev0</t>
        </is>
      </c>
      <c r="C460" s="21" t="n">
        <v>0</v>
      </c>
      <c r="D460" s="21" t="n">
        <v>46228</v>
      </c>
      <c r="E460" s="20" t="inlineStr">
        <is>
          <t>IFC - ISSUED FOR CONSTRUCTION</t>
        </is>
      </c>
      <c r="F460" s="21" t="n">
        <v>8903</v>
      </c>
      <c r="G460" s="20" t="inlineStr">
        <is>
          <t>PIPE B36.10/36.19 A333 6-SMLS BE BE</t>
        </is>
      </c>
      <c r="H460" s="20" t="inlineStr">
        <is>
          <t>A333</t>
        </is>
      </c>
      <c r="I460" s="22" t="n">
        <v>16</v>
      </c>
      <c r="J460" s="21" t="inlineStr">
        <is>
          <t>STD</t>
        </is>
      </c>
      <c r="K460" s="20" t="inlineStr">
        <is>
          <t>I65585719</t>
        </is>
      </c>
      <c r="L460" s="22" t="n">
        <v>43.8</v>
      </c>
      <c r="M460" s="20">
        <f>IFERROR(LEFT(B460,SEARCH("_Rev",B460)-1),B460)</f>
        <v/>
      </c>
      <c r="N460" s="20">
        <f>IF(B460="","",IF(ISNUMBER(C460),IF(COUNTIFS($M$3:$M$1026,M460,$C$3:$C$1026,"&gt;"&amp;C460)=0,"CURRENT","SUPERSEDED"),"CURRENT"))</f>
        <v/>
      </c>
      <c r="O460" s="19" t="n"/>
    </row>
    <row r="461">
      <c r="A461" s="19" t="n"/>
      <c r="B461" s="20" t="inlineStr">
        <is>
          <t>4503-XH-DL-8903-8941-5003-HWS1-02_Rev0</t>
        </is>
      </c>
      <c r="C461" s="21" t="n">
        <v>0</v>
      </c>
      <c r="D461" s="21" t="n">
        <v>46232</v>
      </c>
      <c r="E461" s="20" t="inlineStr">
        <is>
          <t>IFC - ISSUED FOR CONSTRUCTION</t>
        </is>
      </c>
      <c r="F461" s="21" t="n">
        <v>8903</v>
      </c>
      <c r="G461" s="20" t="inlineStr">
        <is>
          <t>PIPE B36.10/36.19 A333 6-SMLS BE BE</t>
        </is>
      </c>
      <c r="H461" s="20" t="inlineStr">
        <is>
          <t>A333</t>
        </is>
      </c>
      <c r="I461" s="22" t="n">
        <v>16</v>
      </c>
      <c r="J461" s="21" t="inlineStr">
        <is>
          <t>STD</t>
        </is>
      </c>
      <c r="K461" s="20" t="inlineStr">
        <is>
          <t>I65585719</t>
        </is>
      </c>
      <c r="L461" s="22" t="n">
        <v>59.5</v>
      </c>
      <c r="M461" s="20">
        <f>IFERROR(LEFT(B461,SEARCH("_Rev",B461)-1),B461)</f>
        <v/>
      </c>
      <c r="N461" s="20">
        <f>IF(B461="","",IF(ISNUMBER(C461),IF(COUNTIFS($M$3:$M$1026,M461,$C$3:$C$1026,"&gt;"&amp;C461)=0,"CURRENT","SUPERSEDED"),"CURRENT"))</f>
        <v/>
      </c>
      <c r="O461" s="19" t="n"/>
    </row>
    <row r="462">
      <c r="A462" s="19" t="n"/>
      <c r="B462" s="20" t="inlineStr">
        <is>
          <t>4503-XH-DL-8903-8941-5003-HWS1-03_Rev0</t>
        </is>
      </c>
      <c r="C462" s="21" t="n">
        <v>0</v>
      </c>
      <c r="D462" s="21" t="n">
        <v>46232</v>
      </c>
      <c r="E462" s="20" t="inlineStr">
        <is>
          <t>IFC - ISSUED FOR CONSTRUCTION</t>
        </is>
      </c>
      <c r="F462" s="21" t="n">
        <v>8903</v>
      </c>
      <c r="G462" s="20" t="inlineStr">
        <is>
          <t>PIPE B36.10/36.19 A333 6-SMLS BE BE</t>
        </is>
      </c>
      <c r="H462" s="20" t="inlineStr">
        <is>
          <t>A333</t>
        </is>
      </c>
      <c r="I462" s="22" t="n">
        <v>16</v>
      </c>
      <c r="J462" s="21" t="inlineStr">
        <is>
          <t>STD</t>
        </is>
      </c>
      <c r="K462" s="20" t="inlineStr">
        <is>
          <t>I65585719</t>
        </is>
      </c>
      <c r="L462" s="22" t="n">
        <v>6.5</v>
      </c>
      <c r="M462" s="20">
        <f>IFERROR(LEFT(B462,SEARCH("_Rev",B462)-1),B462)</f>
        <v/>
      </c>
      <c r="N462" s="20">
        <f>IF(B462="","",IF(ISNUMBER(C462),IF(COUNTIFS($M$3:$M$1026,M462,$C$3:$C$1026,"&gt;"&amp;C462)=0,"CURRENT","SUPERSEDED"),"CURRENT"))</f>
        <v/>
      </c>
      <c r="O462" s="19" t="n"/>
    </row>
    <row r="463">
      <c r="A463" s="19" t="n"/>
      <c r="B463" s="20" t="inlineStr">
        <is>
          <t>4503-XH-DL-8903-8941-5003-HWS1-03_Rev0</t>
        </is>
      </c>
      <c r="C463" s="21" t="n">
        <v>0</v>
      </c>
      <c r="D463" s="21" t="n">
        <v>46232</v>
      </c>
      <c r="E463" s="20" t="inlineStr">
        <is>
          <t>IFC - ISSUED FOR CONSTRUCTION</t>
        </is>
      </c>
      <c r="F463" s="21" t="n">
        <v>8903</v>
      </c>
      <c r="G463" s="20" t="inlineStr">
        <is>
          <t>PIPE B36.10/36.19 A333 6-SMLS BE BE</t>
        </is>
      </c>
      <c r="H463" s="20" t="inlineStr">
        <is>
          <t>A333</t>
        </is>
      </c>
      <c r="I463" s="22" t="n">
        <v>14</v>
      </c>
      <c r="J463" s="21" t="inlineStr">
        <is>
          <t>STD</t>
        </is>
      </c>
      <c r="K463" s="20" t="inlineStr">
        <is>
          <t>I63649172</t>
        </is>
      </c>
      <c r="L463" s="22" t="n">
        <v>18.5</v>
      </c>
      <c r="M463" s="20">
        <f>IFERROR(LEFT(B463,SEARCH("_Rev",B463)-1),B463)</f>
        <v/>
      </c>
      <c r="N463" s="20">
        <f>IF(B463="","",IF(ISNUMBER(C463),IF(COUNTIFS($M$3:$M$1026,M463,$C$3:$C$1026,"&gt;"&amp;C463)=0,"CURRENT","SUPERSEDED"),"CURRENT"))</f>
        <v/>
      </c>
      <c r="O463" s="19" t="n"/>
    </row>
    <row r="464">
      <c r="A464" s="19" t="n"/>
      <c r="B464" s="20" t="inlineStr">
        <is>
          <t>4503-XH-DL-8903-8941-5003-HWS1-04_Rev0</t>
        </is>
      </c>
      <c r="C464" s="21" t="n">
        <v>0</v>
      </c>
      <c r="D464" s="21" t="n">
        <v>46227</v>
      </c>
      <c r="E464" s="20" t="inlineStr">
        <is>
          <t>IFC - ISSUED FOR CONSTRUCTION</t>
        </is>
      </c>
      <c r="F464" s="21" t="n">
        <v>8903</v>
      </c>
      <c r="G464" s="20" t="inlineStr">
        <is>
          <t>PIPE B36.10/36.19 A333 6-SMLS BE BE</t>
        </is>
      </c>
      <c r="H464" s="20" t="inlineStr">
        <is>
          <t>A333</t>
        </is>
      </c>
      <c r="I464" s="22" t="n">
        <v>16</v>
      </c>
      <c r="J464" s="21" t="inlineStr">
        <is>
          <t>STD</t>
        </is>
      </c>
      <c r="K464" s="20" t="inlineStr">
        <is>
          <t>I65585719</t>
        </is>
      </c>
      <c r="L464" s="22" t="n">
        <v>32.1</v>
      </c>
      <c r="M464" s="20">
        <f>IFERROR(LEFT(B464,SEARCH("_Rev",B464)-1),B464)</f>
        <v/>
      </c>
      <c r="N464" s="20">
        <f>IF(B464="","",IF(ISNUMBER(C464),IF(COUNTIFS($M$3:$M$1026,M464,$C$3:$C$1026,"&gt;"&amp;C464)=0,"CURRENT","SUPERSEDED"),"CURRENT"))</f>
        <v/>
      </c>
      <c r="O464" s="19" t="n"/>
    </row>
    <row r="465">
      <c r="A465" s="19" t="n"/>
      <c r="B465" s="20" t="inlineStr">
        <is>
          <t>4503-XH-DL-8903-8941-5003-HWS1-05_Rev0</t>
        </is>
      </c>
      <c r="C465" s="21" t="n">
        <v>0</v>
      </c>
      <c r="D465" s="21" t="n">
        <v>46227</v>
      </c>
      <c r="E465" s="20" t="inlineStr">
        <is>
          <t>IFC - ISSUED FOR CONSTRUCTION</t>
        </is>
      </c>
      <c r="F465" s="21" t="n">
        <v>8903</v>
      </c>
      <c r="G465" s="20" t="inlineStr">
        <is>
          <t>PIPE B36.10/36.19 A333 6-SMLS BE BE</t>
        </is>
      </c>
      <c r="H465" s="20" t="inlineStr">
        <is>
          <t>A333</t>
        </is>
      </c>
      <c r="I465" s="22" t="n">
        <v>14</v>
      </c>
      <c r="J465" s="21" t="inlineStr">
        <is>
          <t>STD</t>
        </is>
      </c>
      <c r="K465" s="20" t="inlineStr">
        <is>
          <t>I63649172</t>
        </is>
      </c>
      <c r="L465" s="22" t="n">
        <v>26.3</v>
      </c>
      <c r="M465" s="20">
        <f>IFERROR(LEFT(B465,SEARCH("_Rev",B465)-1),B465)</f>
        <v/>
      </c>
      <c r="N465" s="20">
        <f>IF(B465="","",IF(ISNUMBER(C465),IF(COUNTIFS($M$3:$M$1026,M465,$C$3:$C$1026,"&gt;"&amp;C465)=0,"CURRENT","SUPERSEDED"),"CURRENT"))</f>
        <v/>
      </c>
      <c r="O465" s="19" t="n"/>
    </row>
    <row r="466">
      <c r="A466" s="19" t="n"/>
      <c r="B466" s="20" t="inlineStr">
        <is>
          <t>4503-XH-DL-8903-8941-5003-HWS1-06_Rev0</t>
        </is>
      </c>
      <c r="C466" s="21" t="n">
        <v>0</v>
      </c>
      <c r="D466" s="21" t="n">
        <v>46227</v>
      </c>
      <c r="E466" s="20" t="inlineStr">
        <is>
          <t>IFC - ISSUED FOR CONSTRUCTION</t>
        </is>
      </c>
      <c r="F466" s="21" t="n">
        <v>8903</v>
      </c>
      <c r="G466" s="20" t="inlineStr">
        <is>
          <t>PIPE B36.10/36.19 A333 6-SMLS BE BE</t>
        </is>
      </c>
      <c r="H466" s="20" t="inlineStr">
        <is>
          <t>A333</t>
        </is>
      </c>
      <c r="I466" s="22" t="n">
        <v>14</v>
      </c>
      <c r="J466" s="21" t="inlineStr">
        <is>
          <t>STD</t>
        </is>
      </c>
      <c r="K466" s="20" t="inlineStr">
        <is>
          <t>I63649172</t>
        </is>
      </c>
      <c r="L466" s="22" t="n">
        <v>22.8</v>
      </c>
      <c r="M466" s="20">
        <f>IFERROR(LEFT(B466,SEARCH("_Rev",B466)-1),B466)</f>
        <v/>
      </c>
      <c r="N466" s="20">
        <f>IF(B466="","",IF(ISNUMBER(C466),IF(COUNTIFS($M$3:$M$1026,M466,$C$3:$C$1026,"&gt;"&amp;C466)=0,"CURRENT","SUPERSEDED"),"CURRENT"))</f>
        <v/>
      </c>
      <c r="O466" s="19" t="n"/>
    </row>
    <row r="467">
      <c r="A467" s="19" t="n"/>
      <c r="B467" s="20" t="inlineStr">
        <is>
          <t>4503-XH-DL-8903-8941-5003-HWS1-07_Rev0</t>
        </is>
      </c>
      <c r="C467" s="21" t="n">
        <v>0</v>
      </c>
      <c r="D467" s="21" t="n">
        <v>46227</v>
      </c>
      <c r="E467" s="20" t="inlineStr">
        <is>
          <t>IFI - ISSUED FOR INFORMATION</t>
        </is>
      </c>
      <c r="F467" s="21" t="n">
        <v>8903</v>
      </c>
      <c r="G467" s="20" t="inlineStr">
        <is>
          <t>PIPE B36.10/36.19 A333 6-SMLS PE PE</t>
        </is>
      </c>
      <c r="H467" s="20" t="inlineStr">
        <is>
          <t>A333</t>
        </is>
      </c>
      <c r="I467" s="22" t="n">
        <v>1</v>
      </c>
      <c r="J467" s="21" t="inlineStr">
        <is>
          <t>XS</t>
        </is>
      </c>
      <c r="K467" s="20" t="inlineStr">
        <is>
          <t>I63649231</t>
        </is>
      </c>
      <c r="L467" s="22" t="n">
        <v>0.2</v>
      </c>
      <c r="M467" s="20">
        <f>IFERROR(LEFT(B467,SEARCH("_Rev",B467)-1),B467)</f>
        <v/>
      </c>
      <c r="N467" s="20">
        <f>IF(B467="","",IF(ISNUMBER(C467),IF(COUNTIFS($M$3:$M$1026,M467,$C$3:$C$1026,"&gt;"&amp;C467)=0,"CURRENT","SUPERSEDED"),"CURRENT"))</f>
        <v/>
      </c>
      <c r="O467" s="19" t="n"/>
    </row>
    <row r="468">
      <c r="A468" s="19" t="n"/>
      <c r="B468" s="20" t="inlineStr">
        <is>
          <t>4503-XH-DL-8903-8941-5003-HWS1-08_Rev0</t>
        </is>
      </c>
      <c r="C468" s="21" t="n">
        <v>0</v>
      </c>
      <c r="D468" s="21" t="n">
        <v>46227</v>
      </c>
      <c r="E468" s="20" t="inlineStr">
        <is>
          <t>IFI - ISSUED FOR INFORMATION</t>
        </is>
      </c>
      <c r="F468" s="21" t="n">
        <v>8903</v>
      </c>
      <c r="G468" s="20" t="inlineStr">
        <is>
          <t>PIPE B36.10/36.19 A333 6-SMLS PE PE</t>
        </is>
      </c>
      <c r="H468" s="20" t="inlineStr">
        <is>
          <t>A333</t>
        </is>
      </c>
      <c r="I468" s="22" t="n">
        <v>1</v>
      </c>
      <c r="J468" s="21" t="inlineStr">
        <is>
          <t>XS</t>
        </is>
      </c>
      <c r="K468" s="20" t="inlineStr">
        <is>
          <t>I63649231</t>
        </is>
      </c>
      <c r="L468" s="22" t="n">
        <v>0.2</v>
      </c>
      <c r="M468" s="20">
        <f>IFERROR(LEFT(B468,SEARCH("_Rev",B468)-1),B468)</f>
        <v/>
      </c>
      <c r="N468" s="20">
        <f>IF(B468="","",IF(ISNUMBER(C468),IF(COUNTIFS($M$3:$M$1026,M468,$C$3:$C$1026,"&gt;"&amp;C468)=0,"CURRENT","SUPERSEDED"),"CURRENT"))</f>
        <v/>
      </c>
      <c r="O468" s="19" t="n"/>
    </row>
    <row r="469">
      <c r="A469" s="19" t="n"/>
      <c r="B469" s="20" t="inlineStr">
        <is>
          <t>4503-XH-DL-8903-8941-5004-HWR1-01_Rev0</t>
        </is>
      </c>
      <c r="C469" s="21" t="n">
        <v>0</v>
      </c>
      <c r="D469" s="21" t="n">
        <v>46232</v>
      </c>
      <c r="E469" s="20" t="inlineStr">
        <is>
          <t>IFC - ISSUED FOR CONSTRUCTION</t>
        </is>
      </c>
      <c r="F469" s="21" t="n">
        <v>8903</v>
      </c>
      <c r="G469" s="20" t="inlineStr">
        <is>
          <t>PIPE B36.10/36.19 A333 6-SMLS BE BE</t>
        </is>
      </c>
      <c r="H469" s="20" t="inlineStr">
        <is>
          <t>A333</t>
        </is>
      </c>
      <c r="I469" s="22" t="n">
        <v>6</v>
      </c>
      <c r="J469" s="21" t="inlineStr">
        <is>
          <t>STD</t>
        </is>
      </c>
      <c r="K469" s="20" t="inlineStr">
        <is>
          <t>I63649156</t>
        </is>
      </c>
      <c r="L469" s="22" t="n">
        <v>17.6</v>
      </c>
      <c r="M469" s="20">
        <f>IFERROR(LEFT(B469,SEARCH("_Rev",B469)-1),B469)</f>
        <v/>
      </c>
      <c r="N469" s="20">
        <f>IF(B469="","",IF(ISNUMBER(C469),IF(COUNTIFS($M$3:$M$1026,M469,$C$3:$C$1026,"&gt;"&amp;C469)=0,"CURRENT","SUPERSEDED"),"CURRENT"))</f>
        <v/>
      </c>
      <c r="O469" s="19" t="n"/>
    </row>
    <row r="470">
      <c r="A470" s="19" t="n"/>
      <c r="B470" s="20" t="inlineStr">
        <is>
          <t>4503-XH-DL-8903-8950-5008-LN-01_Rev0</t>
        </is>
      </c>
      <c r="C470" s="21" t="n">
        <v>0</v>
      </c>
      <c r="D470" s="21" t="n">
        <v>46232</v>
      </c>
      <c r="E470" s="20" t="inlineStr">
        <is>
          <t>IFC - ISSUED FOR CONSTRUCTION</t>
        </is>
      </c>
      <c r="F470" s="21" t="n">
        <v>8903</v>
      </c>
      <c r="G470" s="20" t="inlineStr">
        <is>
          <t>PIPE B36.10/36.19 A333 6-SMLS BE BE</t>
        </is>
      </c>
      <c r="H470" s="20" t="inlineStr">
        <is>
          <t>A333</t>
        </is>
      </c>
      <c r="I470" s="22" t="n">
        <v>8</v>
      </c>
      <c r="J470" s="21" t="inlineStr">
        <is>
          <t>STD</t>
        </is>
      </c>
      <c r="K470" s="20" t="inlineStr">
        <is>
          <t>I64108766</t>
        </is>
      </c>
      <c r="L470" s="22" t="n">
        <v>4.4</v>
      </c>
      <c r="M470" s="20">
        <f>IFERROR(LEFT(B470,SEARCH("_Rev",B470)-1),B470)</f>
        <v/>
      </c>
      <c r="N470" s="20">
        <f>IF(B470="","",IF(ISNUMBER(C470),IF(COUNTIFS($M$3:$M$1026,M470,$C$3:$C$1026,"&gt;"&amp;C470)=0,"CURRENT","SUPERSEDED"),"CURRENT"))</f>
        <v/>
      </c>
      <c r="O470" s="19" t="n"/>
    </row>
    <row r="471">
      <c r="A471" s="19" t="n"/>
      <c r="B471" s="20" t="inlineStr">
        <is>
          <t>4503-XH-DL-8903-8950-5022-LN-02_Rev0</t>
        </is>
      </c>
      <c r="C471" s="21" t="n">
        <v>0</v>
      </c>
      <c r="D471" s="21" t="n">
        <v>46227</v>
      </c>
      <c r="E471" s="20" t="inlineStr">
        <is>
          <t>IFC - ISSUED FOR CONSTRUCTION</t>
        </is>
      </c>
      <c r="F471" s="21" t="n">
        <v>8903</v>
      </c>
      <c r="G471" s="20" t="inlineStr">
        <is>
          <t>PIPE B36.10/36.19 A333 6-SMLS BE BE</t>
        </is>
      </c>
      <c r="H471" s="20" t="inlineStr">
        <is>
          <t>A333</t>
        </is>
      </c>
      <c r="I471" s="22" t="n">
        <v>14</v>
      </c>
      <c r="J471" s="21" t="inlineStr">
        <is>
          <t>STD</t>
        </is>
      </c>
      <c r="K471" s="20" t="inlineStr">
        <is>
          <t>I63649172</t>
        </is>
      </c>
      <c r="L471" s="22" t="n">
        <v>15.8</v>
      </c>
      <c r="M471" s="20">
        <f>IFERROR(LEFT(B471,SEARCH("_Rev",B471)-1),B471)</f>
        <v/>
      </c>
      <c r="N471" s="20">
        <f>IF(B471="","",IF(ISNUMBER(C471),IF(COUNTIFS($M$3:$M$1026,M471,$C$3:$C$1026,"&gt;"&amp;C471)=0,"CURRENT","SUPERSEDED"),"CURRENT"))</f>
        <v/>
      </c>
      <c r="O471" s="19" t="n"/>
    </row>
    <row r="472">
      <c r="A472" s="19" t="n"/>
      <c r="B472" s="20" t="inlineStr">
        <is>
          <t>4503-XH-DL-8903-8950-5022-LN-03_Rev0</t>
        </is>
      </c>
      <c r="C472" s="21" t="n">
        <v>0</v>
      </c>
      <c r="D472" s="21" t="n">
        <v>46227</v>
      </c>
      <c r="E472" s="20" t="inlineStr">
        <is>
          <t>IFC - ISSUED FOR CONSTRUCTION</t>
        </is>
      </c>
      <c r="F472" s="21" t="n">
        <v>8903</v>
      </c>
      <c r="G472" s="20" t="inlineStr">
        <is>
          <t>PIPE B36.10/36.19 A333 6-SMLS BE BE</t>
        </is>
      </c>
      <c r="H472" s="20" t="inlineStr">
        <is>
          <t>A333</t>
        </is>
      </c>
      <c r="I472" s="22" t="n">
        <v>14</v>
      </c>
      <c r="J472" s="21" t="inlineStr">
        <is>
          <t>STD</t>
        </is>
      </c>
      <c r="K472" s="20" t="inlineStr">
        <is>
          <t>I63649172</t>
        </is>
      </c>
      <c r="L472" s="22" t="n">
        <v>26.7</v>
      </c>
      <c r="M472" s="20">
        <f>IFERROR(LEFT(B472,SEARCH("_Rev",B472)-1),B472)</f>
        <v/>
      </c>
      <c r="N472" s="20">
        <f>IF(B472="","",IF(ISNUMBER(C472),IF(COUNTIFS($M$3:$M$1026,M472,$C$3:$C$1026,"&gt;"&amp;C472)=0,"CURRENT","SUPERSEDED"),"CURRENT"))</f>
        <v/>
      </c>
      <c r="O472" s="19" t="n"/>
    </row>
    <row r="473">
      <c r="A473" s="19" t="n"/>
      <c r="B473" s="20" t="inlineStr">
        <is>
          <t>4503-XH-DL-8903-8950-5022-LN-04_Rev0</t>
        </is>
      </c>
      <c r="C473" s="21" t="n">
        <v>0</v>
      </c>
      <c r="D473" s="21" t="n">
        <v>46232</v>
      </c>
      <c r="E473" s="20" t="inlineStr">
        <is>
          <t>IFC - ISSUED FOR CONSTRUCTION</t>
        </is>
      </c>
      <c r="F473" s="21" t="n">
        <v>8903</v>
      </c>
      <c r="G473" s="20" t="inlineStr">
        <is>
          <t>PIPE B36.10/36.19 A333 6-SMLS BE BE</t>
        </is>
      </c>
      <c r="H473" s="20" t="inlineStr">
        <is>
          <t>A333</t>
        </is>
      </c>
      <c r="I473" s="22" t="n">
        <v>14</v>
      </c>
      <c r="J473" s="21" t="inlineStr">
        <is>
          <t>STD</t>
        </is>
      </c>
      <c r="K473" s="20" t="inlineStr">
        <is>
          <t>I63649172</t>
        </is>
      </c>
      <c r="L473" s="22" t="n">
        <v>34</v>
      </c>
      <c r="M473" s="20">
        <f>IFERROR(LEFT(B473,SEARCH("_Rev",B473)-1),B473)</f>
        <v/>
      </c>
      <c r="N473" s="20">
        <f>IF(B473="","",IF(ISNUMBER(C473),IF(COUNTIFS($M$3:$M$1026,M473,$C$3:$C$1026,"&gt;"&amp;C473)=0,"CURRENT","SUPERSEDED"),"CURRENT"))</f>
        <v/>
      </c>
      <c r="O473" s="19" t="n"/>
    </row>
    <row r="474">
      <c r="A474" s="19" t="n"/>
      <c r="B474" s="20" t="inlineStr">
        <is>
          <t>4503-XH-DL-8904-8940-5007-GWR1-01_Rev0</t>
        </is>
      </c>
      <c r="C474" s="21" t="n">
        <v>0</v>
      </c>
      <c r="D474" s="21" t="n">
        <v>46230</v>
      </c>
      <c r="E474" s="20" t="inlineStr">
        <is>
          <t>IFC - ISSUED FOR CONSTRUCTION</t>
        </is>
      </c>
      <c r="F474" s="21" t="n">
        <v>8904</v>
      </c>
      <c r="G474" s="20" t="inlineStr">
        <is>
          <t>PIPE B36.10/36.19 A333 6-SMLS BE BE</t>
        </is>
      </c>
      <c r="H474" s="20" t="inlineStr">
        <is>
          <t>A333</t>
        </is>
      </c>
      <c r="I474" s="22" t="n">
        <v>8</v>
      </c>
      <c r="J474" s="21" t="inlineStr">
        <is>
          <t>STD</t>
        </is>
      </c>
      <c r="K474" s="20" t="inlineStr">
        <is>
          <t>I64108766</t>
        </is>
      </c>
      <c r="L474" s="22" t="n">
        <v>18.4</v>
      </c>
      <c r="M474" s="20">
        <f>IFERROR(LEFT(B474,SEARCH("_Rev",B474)-1),B474)</f>
        <v/>
      </c>
      <c r="N474" s="20">
        <f>IF(B474="","",IF(ISNUMBER(C474),IF(COUNTIFS($M$3:$M$1026,M474,$C$3:$C$1026,"&gt;"&amp;C474)=0,"CURRENT","SUPERSEDED"),"CURRENT"))</f>
        <v/>
      </c>
      <c r="O474" s="19" t="n"/>
    </row>
    <row r="475">
      <c r="A475" s="19" t="n"/>
      <c r="B475" s="20" t="inlineStr">
        <is>
          <t>4503-XH-DL-8904-8940-5007-GWR1-02_Rev0</t>
        </is>
      </c>
      <c r="C475" s="21" t="n">
        <v>0</v>
      </c>
      <c r="D475" s="21" t="n">
        <v>46230</v>
      </c>
      <c r="E475" s="20" t="inlineStr">
        <is>
          <t>IFC - ISSUED FOR CONSTRUCTION</t>
        </is>
      </c>
      <c r="F475" s="21" t="n">
        <v>8904</v>
      </c>
      <c r="G475" s="20" t="inlineStr">
        <is>
          <t>PIPE B36.10/36.19 A333 6-SMLS BE BE</t>
        </is>
      </c>
      <c r="H475" s="20" t="inlineStr">
        <is>
          <t>A333</t>
        </is>
      </c>
      <c r="I475" s="22" t="n">
        <v>8</v>
      </c>
      <c r="J475" s="21" t="inlineStr">
        <is>
          <t>STD</t>
        </is>
      </c>
      <c r="K475" s="20" t="inlineStr">
        <is>
          <t>I64108766</t>
        </is>
      </c>
      <c r="L475" s="22" t="n">
        <v>25.5</v>
      </c>
      <c r="M475" s="20">
        <f>IFERROR(LEFT(B475,SEARCH("_Rev",B475)-1),B475)</f>
        <v/>
      </c>
      <c r="N475" s="20">
        <f>IF(B475="","",IF(ISNUMBER(C475),IF(COUNTIFS($M$3:$M$1026,M475,$C$3:$C$1026,"&gt;"&amp;C475)=0,"CURRENT","SUPERSEDED"),"CURRENT"))</f>
        <v/>
      </c>
      <c r="O475" s="19" t="n"/>
    </row>
    <row r="476">
      <c r="A476" s="19" t="n"/>
      <c r="B476" s="20" t="inlineStr">
        <is>
          <t>4503-XH-DL-8904-8940-5007-GWR1-03_Rev0</t>
        </is>
      </c>
      <c r="C476" s="21" t="n">
        <v>0</v>
      </c>
      <c r="D476" s="21" t="n">
        <v>46230</v>
      </c>
      <c r="E476" s="20" t="inlineStr">
        <is>
          <t>IFC - ISSUED FOR CONSTRUCTION</t>
        </is>
      </c>
      <c r="F476" s="21" t="n">
        <v>8904</v>
      </c>
      <c r="G476" s="20" t="inlineStr">
        <is>
          <t>PIPE B36.10/36.19 A333 6-SMLS BE BE</t>
        </is>
      </c>
      <c r="H476" s="20" t="inlineStr">
        <is>
          <t>A333</t>
        </is>
      </c>
      <c r="I476" s="22" t="n">
        <v>8</v>
      </c>
      <c r="J476" s="21" t="inlineStr">
        <is>
          <t>STD</t>
        </is>
      </c>
      <c r="K476" s="20" t="inlineStr">
        <is>
          <t>I64108766</t>
        </is>
      </c>
      <c r="L476" s="22" t="n">
        <v>30.4</v>
      </c>
      <c r="M476" s="20">
        <f>IFERROR(LEFT(B476,SEARCH("_Rev",B476)-1),B476)</f>
        <v/>
      </c>
      <c r="N476" s="20">
        <f>IF(B476="","",IF(ISNUMBER(C476),IF(COUNTIFS($M$3:$M$1026,M476,$C$3:$C$1026,"&gt;"&amp;C476)=0,"CURRENT","SUPERSEDED"),"CURRENT"))</f>
        <v/>
      </c>
      <c r="O476" s="19" t="n"/>
    </row>
    <row r="477">
      <c r="A477" s="19" t="n"/>
      <c r="B477" s="20" t="inlineStr">
        <is>
          <t>4503-XH-DL-8904-8940-5007-GWR1-04_Rev0</t>
        </is>
      </c>
      <c r="C477" s="21" t="n">
        <v>0</v>
      </c>
      <c r="D477" s="21" t="n">
        <v>46230</v>
      </c>
      <c r="E477" s="20" t="inlineStr">
        <is>
          <t>IFC - ISSUED FOR CONSTRUCTION</t>
        </is>
      </c>
      <c r="F477" s="21" t="n">
        <v>8904</v>
      </c>
      <c r="G477" s="20" t="inlineStr">
        <is>
          <t>PIPE B36.10/36.19 A333 6-SMLS BE BE</t>
        </is>
      </c>
      <c r="H477" s="20" t="inlineStr">
        <is>
          <t>A333</t>
        </is>
      </c>
      <c r="I477" s="22" t="n">
        <v>10</v>
      </c>
      <c r="J477" s="21" t="inlineStr">
        <is>
          <t>STD</t>
        </is>
      </c>
      <c r="K477" s="20" t="inlineStr">
        <is>
          <t>I64108754</t>
        </is>
      </c>
      <c r="L477" s="22" t="n">
        <v>21.8</v>
      </c>
      <c r="M477" s="20">
        <f>IFERROR(LEFT(B477,SEARCH("_Rev",B477)-1),B477)</f>
        <v/>
      </c>
      <c r="N477" s="20">
        <f>IF(B477="","",IF(ISNUMBER(C477),IF(COUNTIFS($M$3:$M$1026,M477,$C$3:$C$1026,"&gt;"&amp;C477)=0,"CURRENT","SUPERSEDED"),"CURRENT"))</f>
        <v/>
      </c>
      <c r="O477" s="19" t="n"/>
    </row>
    <row r="478">
      <c r="A478" s="19" t="n"/>
      <c r="B478" s="20" t="inlineStr">
        <is>
          <t>4503-XH-DL-8904-8940-5007-GWR1-04_Rev0</t>
        </is>
      </c>
      <c r="C478" s="21" t="n">
        <v>0</v>
      </c>
      <c r="D478" s="21" t="n">
        <v>46230</v>
      </c>
      <c r="E478" s="20" t="inlineStr">
        <is>
          <t>IFC - ISSUED FOR CONSTRUCTION</t>
        </is>
      </c>
      <c r="F478" s="21" t="n">
        <v>8904</v>
      </c>
      <c r="G478" s="20" t="inlineStr">
        <is>
          <t>PIPE B36.10/36.19 A333 6-SMLS BE BE</t>
        </is>
      </c>
      <c r="H478" s="20" t="inlineStr">
        <is>
          <t>A333</t>
        </is>
      </c>
      <c r="I478" s="22" t="n">
        <v>8</v>
      </c>
      <c r="J478" s="21" t="inlineStr">
        <is>
          <t>STD</t>
        </is>
      </c>
      <c r="K478" s="20" t="inlineStr">
        <is>
          <t>I64108766</t>
        </is>
      </c>
      <c r="L478" s="22" t="n">
        <v>6</v>
      </c>
      <c r="M478" s="20">
        <f>IFERROR(LEFT(B478,SEARCH("_Rev",B478)-1),B478)</f>
        <v/>
      </c>
      <c r="N478" s="20">
        <f>IF(B478="","",IF(ISNUMBER(C478),IF(COUNTIFS($M$3:$M$1026,M478,$C$3:$C$1026,"&gt;"&amp;C478)=0,"CURRENT","SUPERSEDED"),"CURRENT"))</f>
        <v/>
      </c>
      <c r="O478" s="19" t="n"/>
    </row>
    <row r="479">
      <c r="A479" s="19" t="n"/>
      <c r="B479" s="20" t="inlineStr">
        <is>
          <t>4503-XH-DL-8904-8940-5007-GWR1-05_Rev0</t>
        </is>
      </c>
      <c r="C479" s="21" t="n">
        <v>0</v>
      </c>
      <c r="D479" s="21" t="n">
        <v>46230</v>
      </c>
      <c r="E479" s="20" t="inlineStr">
        <is>
          <t>IFC - ISSUED FOR CONSTRUCTION</t>
        </is>
      </c>
      <c r="F479" s="21" t="n">
        <v>8904</v>
      </c>
      <c r="G479" s="20" t="inlineStr">
        <is>
          <t>PIPE B36.10/36.19 A333 6-SMLS BE BE</t>
        </is>
      </c>
      <c r="H479" s="20" t="inlineStr">
        <is>
          <t>A333</t>
        </is>
      </c>
      <c r="I479" s="22" t="n">
        <v>10</v>
      </c>
      <c r="J479" s="21" t="inlineStr">
        <is>
          <t>STD</t>
        </is>
      </c>
      <c r="K479" s="20" t="inlineStr">
        <is>
          <t>I64108754</t>
        </is>
      </c>
      <c r="L479" s="22" t="n">
        <v>24.8</v>
      </c>
      <c r="M479" s="20">
        <f>IFERROR(LEFT(B479,SEARCH("_Rev",B479)-1),B479)</f>
        <v/>
      </c>
      <c r="N479" s="20">
        <f>IF(B479="","",IF(ISNUMBER(C479),IF(COUNTIFS($M$3:$M$1026,M479,$C$3:$C$1026,"&gt;"&amp;C479)=0,"CURRENT","SUPERSEDED"),"CURRENT"))</f>
        <v/>
      </c>
      <c r="O479" s="19" t="n"/>
    </row>
    <row r="480">
      <c r="A480" s="19" t="n"/>
      <c r="B480" s="20" t="inlineStr">
        <is>
          <t>4503-XH-DL-8904-8940-5007-GWR1-06_Rev0</t>
        </is>
      </c>
      <c r="C480" s="21" t="n">
        <v>0</v>
      </c>
      <c r="D480" s="21" t="n">
        <v>46230</v>
      </c>
      <c r="E480" s="20" t="inlineStr">
        <is>
          <t>IFC - ISSUED FOR CONSTRUCTION</t>
        </is>
      </c>
      <c r="F480" s="21" t="n">
        <v>8904</v>
      </c>
      <c r="G480" s="20" t="inlineStr">
        <is>
          <t>PIPE B36.10/36.19 A333 6-SMLS BE BE</t>
        </is>
      </c>
      <c r="H480" s="20" t="inlineStr">
        <is>
          <t>A333</t>
        </is>
      </c>
      <c r="I480" s="22" t="n">
        <v>10</v>
      </c>
      <c r="J480" s="21" t="inlineStr">
        <is>
          <t>STD</t>
        </is>
      </c>
      <c r="K480" s="20" t="inlineStr">
        <is>
          <t>I64108754</t>
        </is>
      </c>
      <c r="L480" s="22" t="n">
        <v>22.4</v>
      </c>
      <c r="M480" s="20">
        <f>IFERROR(LEFT(B480,SEARCH("_Rev",B480)-1),B480)</f>
        <v/>
      </c>
      <c r="N480" s="20">
        <f>IF(B480="","",IF(ISNUMBER(C480),IF(COUNTIFS($M$3:$M$1026,M480,$C$3:$C$1026,"&gt;"&amp;C480)=0,"CURRENT","SUPERSEDED"),"CURRENT"))</f>
        <v/>
      </c>
      <c r="O480" s="19" t="n"/>
    </row>
    <row r="481">
      <c r="A481" s="19" t="n"/>
      <c r="B481" s="20" t="inlineStr">
        <is>
          <t>4503-XH-DL-8904-8940-5007-GWR1-07_Rev0</t>
        </is>
      </c>
      <c r="C481" s="21" t="n">
        <v>0</v>
      </c>
      <c r="D481" s="21" t="n">
        <v>46230</v>
      </c>
      <c r="E481" s="20" t="inlineStr">
        <is>
          <t>IFC - ISSUED FOR CONSTRUCTION</t>
        </is>
      </c>
      <c r="F481" s="21" t="n">
        <v>8904</v>
      </c>
      <c r="G481" s="20" t="inlineStr">
        <is>
          <t>PIPE B36.10/36.19 A333 6-SMLS BE BE</t>
        </is>
      </c>
      <c r="H481" s="20" t="inlineStr">
        <is>
          <t>A333</t>
        </is>
      </c>
      <c r="I481" s="22" t="n">
        <v>10</v>
      </c>
      <c r="J481" s="21" t="inlineStr">
        <is>
          <t>STD</t>
        </is>
      </c>
      <c r="K481" s="20" t="inlineStr">
        <is>
          <t>I64108754</t>
        </is>
      </c>
      <c r="L481" s="22" t="n">
        <v>54</v>
      </c>
      <c r="M481" s="20">
        <f>IFERROR(LEFT(B481,SEARCH("_Rev",B481)-1),B481)</f>
        <v/>
      </c>
      <c r="N481" s="20">
        <f>IF(B481="","",IF(ISNUMBER(C481),IF(COUNTIFS($M$3:$M$1026,M481,$C$3:$C$1026,"&gt;"&amp;C481)=0,"CURRENT","SUPERSEDED"),"CURRENT"))</f>
        <v/>
      </c>
      <c r="O481" s="19" t="n"/>
    </row>
    <row r="482">
      <c r="A482" s="19" t="n"/>
      <c r="B482" s="20" t="inlineStr">
        <is>
          <t>4503-XH-DL-8904-8940-5007-GWR1-10_Rev0</t>
        </is>
      </c>
      <c r="C482" s="21" t="n">
        <v>0</v>
      </c>
      <c r="D482" s="21" t="n">
        <v>46232</v>
      </c>
      <c r="E482" s="20" t="inlineStr">
        <is>
          <t>IFI - ISSUED FOR INFORMATION</t>
        </is>
      </c>
      <c r="F482" s="21" t="n">
        <v>8904</v>
      </c>
      <c r="G482" s="20" t="inlineStr">
        <is>
          <t>PIPE B36.10/36.19 A333 6-SMLS PE PE</t>
        </is>
      </c>
      <c r="H482" s="20" t="inlineStr">
        <is>
          <t>A333</t>
        </is>
      </c>
      <c r="I482" s="22" t="n">
        <v>1</v>
      </c>
      <c r="J482" s="21" t="inlineStr">
        <is>
          <t>160</t>
        </is>
      </c>
      <c r="K482" s="20" t="inlineStr">
        <is>
          <t>I64108817</t>
        </is>
      </c>
      <c r="L482" s="22" t="n">
        <v>0.1</v>
      </c>
      <c r="M482" s="20">
        <f>IFERROR(LEFT(B482,SEARCH("_Rev",B482)-1),B482)</f>
        <v/>
      </c>
      <c r="N482" s="20">
        <f>IF(B482="","",IF(ISNUMBER(C482),IF(COUNTIFS($M$3:$M$1026,M482,$C$3:$C$1026,"&gt;"&amp;C482)=0,"CURRENT","SUPERSEDED"),"CURRENT"))</f>
        <v/>
      </c>
      <c r="O482" s="19" t="n"/>
    </row>
    <row r="483">
      <c r="A483" s="19" t="n"/>
      <c r="B483" s="20" t="inlineStr">
        <is>
          <t>4503-XH-DL-8904-8940-5007-GWR1-11_Rev0</t>
        </is>
      </c>
      <c r="C483" s="21" t="n">
        <v>0</v>
      </c>
      <c r="D483" s="21" t="n">
        <v>46232</v>
      </c>
      <c r="E483" s="20" t="inlineStr">
        <is>
          <t>IFI - ISSUED FOR INFORMATION</t>
        </is>
      </c>
      <c r="F483" s="21" t="n">
        <v>8904</v>
      </c>
      <c r="G483" s="20" t="inlineStr">
        <is>
          <t>PIPE B36.10/36.19 A333 6-SMLS PE PE</t>
        </is>
      </c>
      <c r="H483" s="20" t="inlineStr">
        <is>
          <t>A333</t>
        </is>
      </c>
      <c r="I483" s="22" t="n">
        <v>1</v>
      </c>
      <c r="J483" s="21" t="inlineStr">
        <is>
          <t>160</t>
        </is>
      </c>
      <c r="K483" s="20" t="inlineStr">
        <is>
          <t>I64108817</t>
        </is>
      </c>
      <c r="L483" s="22" t="n">
        <v>0.1</v>
      </c>
      <c r="M483" s="20">
        <f>IFERROR(LEFT(B483,SEARCH("_Rev",B483)-1),B483)</f>
        <v/>
      </c>
      <c r="N483" s="20">
        <f>IF(B483="","",IF(ISNUMBER(C483),IF(COUNTIFS($M$3:$M$1026,M483,$C$3:$C$1026,"&gt;"&amp;C483)=0,"CURRENT","SUPERSEDED"),"CURRENT"))</f>
        <v/>
      </c>
      <c r="O483" s="19" t="n"/>
    </row>
    <row r="484">
      <c r="A484" s="19" t="n"/>
      <c r="B484" s="20" t="inlineStr">
        <is>
          <t>4503-XH-DL-8904-8940-5009-GWS1-01_Rev0</t>
        </is>
      </c>
      <c r="C484" s="21" t="n">
        <v>0</v>
      </c>
      <c r="D484" s="21" t="n">
        <v>46230</v>
      </c>
      <c r="E484" s="20" t="inlineStr">
        <is>
          <t>IFC - ISSUED FOR CONSTRUCTION</t>
        </is>
      </c>
      <c r="F484" s="21" t="n">
        <v>8904</v>
      </c>
      <c r="G484" s="20" t="inlineStr">
        <is>
          <t>PIPE B36.10/36.19 A333 6-SMLS BE BE</t>
        </is>
      </c>
      <c r="H484" s="20" t="inlineStr">
        <is>
          <t>A333</t>
        </is>
      </c>
      <c r="I484" s="22" t="n">
        <v>10</v>
      </c>
      <c r="J484" s="21" t="inlineStr">
        <is>
          <t>STD</t>
        </is>
      </c>
      <c r="K484" s="20" t="inlineStr">
        <is>
          <t>I64108754</t>
        </is>
      </c>
      <c r="L484" s="22" t="n">
        <v>54</v>
      </c>
      <c r="M484" s="20">
        <f>IFERROR(LEFT(B484,SEARCH("_Rev",B484)-1),B484)</f>
        <v/>
      </c>
      <c r="N484" s="20">
        <f>IF(B484="","",IF(ISNUMBER(C484),IF(COUNTIFS($M$3:$M$1026,M484,$C$3:$C$1026,"&gt;"&amp;C484)=0,"CURRENT","SUPERSEDED"),"CURRENT"))</f>
        <v/>
      </c>
      <c r="O484" s="19" t="n"/>
    </row>
    <row r="485">
      <c r="A485" s="19" t="n"/>
      <c r="B485" s="20" t="inlineStr">
        <is>
          <t>4503-XH-DL-8904-8940-5009-GWS1-02_Rev0</t>
        </is>
      </c>
      <c r="C485" s="21" t="n">
        <v>0</v>
      </c>
      <c r="D485" s="21" t="n">
        <v>46230</v>
      </c>
      <c r="E485" s="20" t="inlineStr">
        <is>
          <t>IFC - ISSUED FOR CONSTRUCTION</t>
        </is>
      </c>
      <c r="F485" s="21" t="n">
        <v>8904</v>
      </c>
      <c r="G485" s="20" t="inlineStr">
        <is>
          <t>PIPE B36.10/36.19 A333 6-SMLS BE BE</t>
        </is>
      </c>
      <c r="H485" s="20" t="inlineStr">
        <is>
          <t>A333</t>
        </is>
      </c>
      <c r="I485" s="22" t="n">
        <v>10</v>
      </c>
      <c r="J485" s="21" t="inlineStr">
        <is>
          <t>STD</t>
        </is>
      </c>
      <c r="K485" s="20" t="inlineStr">
        <is>
          <t>I64108754</t>
        </is>
      </c>
      <c r="L485" s="22" t="n">
        <v>21.8</v>
      </c>
      <c r="M485" s="20">
        <f>IFERROR(LEFT(B485,SEARCH("_Rev",B485)-1),B485)</f>
        <v/>
      </c>
      <c r="N485" s="20">
        <f>IF(B485="","",IF(ISNUMBER(C485),IF(COUNTIFS($M$3:$M$1026,M485,$C$3:$C$1026,"&gt;"&amp;C485)=0,"CURRENT","SUPERSEDED"),"CURRENT"))</f>
        <v/>
      </c>
      <c r="O485" s="19" t="n"/>
    </row>
    <row r="486">
      <c r="A486" s="19" t="n"/>
      <c r="B486" s="20" t="inlineStr">
        <is>
          <t>4503-XH-DL-8904-8940-5009-GWS1-03_Rev0</t>
        </is>
      </c>
      <c r="C486" s="21" t="n">
        <v>0</v>
      </c>
      <c r="D486" s="21" t="n">
        <v>46230</v>
      </c>
      <c r="E486" s="20" t="inlineStr">
        <is>
          <t>IFC - ISSUED FOR CONSTRUCTION</t>
        </is>
      </c>
      <c r="F486" s="21" t="n">
        <v>8904</v>
      </c>
      <c r="G486" s="20" t="inlineStr">
        <is>
          <t>PIPE B36.10/36.19 A333 6-SMLS BE BE</t>
        </is>
      </c>
      <c r="H486" s="20" t="inlineStr">
        <is>
          <t>A333</t>
        </is>
      </c>
      <c r="I486" s="22" t="n">
        <v>8</v>
      </c>
      <c r="J486" s="21" t="inlineStr">
        <is>
          <t>STD</t>
        </is>
      </c>
      <c r="K486" s="20" t="inlineStr">
        <is>
          <t>I64108766</t>
        </is>
      </c>
      <c r="L486" s="22" t="n">
        <v>29.7</v>
      </c>
      <c r="M486" s="20">
        <f>IFERROR(LEFT(B486,SEARCH("_Rev",B486)-1),B486)</f>
        <v/>
      </c>
      <c r="N486" s="20">
        <f>IF(B486="","",IF(ISNUMBER(C486),IF(COUNTIFS($M$3:$M$1026,M486,$C$3:$C$1026,"&gt;"&amp;C486)=0,"CURRENT","SUPERSEDED"),"CURRENT"))</f>
        <v/>
      </c>
      <c r="O486" s="19" t="n"/>
    </row>
    <row r="487">
      <c r="A487" s="19" t="n"/>
      <c r="B487" s="20" t="inlineStr">
        <is>
          <t>4503-XH-DL-8904-8940-5009-GWS1-04_Rev0</t>
        </is>
      </c>
      <c r="C487" s="21" t="n">
        <v>0</v>
      </c>
      <c r="D487" s="21" t="n">
        <v>46230</v>
      </c>
      <c r="E487" s="20" t="inlineStr">
        <is>
          <t>IFC - ISSUED FOR CONSTRUCTION</t>
        </is>
      </c>
      <c r="F487" s="21" t="n">
        <v>8904</v>
      </c>
      <c r="G487" s="20" t="inlineStr">
        <is>
          <t>PIPE B36.10/36.19 A333 6-SMLS BE BE</t>
        </is>
      </c>
      <c r="H487" s="20" t="inlineStr">
        <is>
          <t>A333</t>
        </is>
      </c>
      <c r="I487" s="22" t="n">
        <v>10</v>
      </c>
      <c r="J487" s="21" t="inlineStr">
        <is>
          <t>STD</t>
        </is>
      </c>
      <c r="K487" s="20" t="inlineStr">
        <is>
          <t>I64108754</t>
        </is>
      </c>
      <c r="L487" s="22" t="n">
        <v>26.1</v>
      </c>
      <c r="M487" s="20">
        <f>IFERROR(LEFT(B487,SEARCH("_Rev",B487)-1),B487)</f>
        <v/>
      </c>
      <c r="N487" s="20">
        <f>IF(B487="","",IF(ISNUMBER(C487),IF(COUNTIFS($M$3:$M$1026,M487,$C$3:$C$1026,"&gt;"&amp;C487)=0,"CURRENT","SUPERSEDED"),"CURRENT"))</f>
        <v/>
      </c>
      <c r="O487" s="19" t="n"/>
    </row>
    <row r="488">
      <c r="A488" s="19" t="n"/>
      <c r="B488" s="20" t="inlineStr">
        <is>
          <t>4503-XH-DL-8904-8940-5009-GWS1-05_Rev0</t>
        </is>
      </c>
      <c r="C488" s="21" t="n">
        <v>0</v>
      </c>
      <c r="D488" s="21" t="n">
        <v>46230</v>
      </c>
      <c r="E488" s="20" t="inlineStr">
        <is>
          <t>IFC - ISSUED FOR CONSTRUCTION</t>
        </is>
      </c>
      <c r="F488" s="21" t="n">
        <v>8904</v>
      </c>
      <c r="G488" s="20" t="inlineStr">
        <is>
          <t>PIPE B36.10/36.19 A333 6-SMLS BE BE</t>
        </is>
      </c>
      <c r="H488" s="20" t="inlineStr">
        <is>
          <t>A333</t>
        </is>
      </c>
      <c r="I488" s="22" t="n">
        <v>10</v>
      </c>
      <c r="J488" s="21" t="inlineStr">
        <is>
          <t>STD</t>
        </is>
      </c>
      <c r="K488" s="20" t="inlineStr">
        <is>
          <t>I64108754</t>
        </is>
      </c>
      <c r="L488" s="22" t="n">
        <v>21.6</v>
      </c>
      <c r="M488" s="20">
        <f>IFERROR(LEFT(B488,SEARCH("_Rev",B488)-1),B488)</f>
        <v/>
      </c>
      <c r="N488" s="20">
        <f>IF(B488="","",IF(ISNUMBER(C488),IF(COUNTIFS($M$3:$M$1026,M488,$C$3:$C$1026,"&gt;"&amp;C488)=0,"CURRENT","SUPERSEDED"),"CURRENT"))</f>
        <v/>
      </c>
      <c r="O488" s="19" t="n"/>
    </row>
    <row r="489">
      <c r="A489" s="19" t="n"/>
      <c r="B489" s="20" t="inlineStr">
        <is>
          <t>4503-XH-DL-8904-8940-5009-GWS1-05_Rev0</t>
        </is>
      </c>
      <c r="C489" s="21" t="n">
        <v>0</v>
      </c>
      <c r="D489" s="21" t="n">
        <v>46230</v>
      </c>
      <c r="E489" s="20" t="inlineStr">
        <is>
          <t>IFC - ISSUED FOR CONSTRUCTION</t>
        </is>
      </c>
      <c r="F489" s="21" t="n">
        <v>8904</v>
      </c>
      <c r="G489" s="20" t="inlineStr">
        <is>
          <t>PIPE B36.10/36.19 A333 6-SMLS BE BE</t>
        </is>
      </c>
      <c r="H489" s="20" t="inlineStr">
        <is>
          <t>A333</t>
        </is>
      </c>
      <c r="I489" s="22" t="n">
        <v>8</v>
      </c>
      <c r="J489" s="21" t="inlineStr">
        <is>
          <t>STD</t>
        </is>
      </c>
      <c r="K489" s="20" t="inlineStr">
        <is>
          <t>I64108766</t>
        </is>
      </c>
      <c r="L489" s="22" t="n">
        <v>5.6</v>
      </c>
      <c r="M489" s="20">
        <f>IFERROR(LEFT(B489,SEARCH("_Rev",B489)-1),B489)</f>
        <v/>
      </c>
      <c r="N489" s="20">
        <f>IF(B489="","",IF(ISNUMBER(C489),IF(COUNTIFS($M$3:$M$1026,M489,$C$3:$C$1026,"&gt;"&amp;C489)=0,"CURRENT","SUPERSEDED"),"CURRENT"))</f>
        <v/>
      </c>
      <c r="O489" s="19" t="n"/>
    </row>
    <row r="490">
      <c r="A490" s="19" t="n"/>
      <c r="B490" s="20" t="inlineStr">
        <is>
          <t>4503-XH-DL-8904-8940-5009-GWS1-06_Rev0</t>
        </is>
      </c>
      <c r="C490" s="21" t="n">
        <v>0</v>
      </c>
      <c r="D490" s="21" t="n">
        <v>46230</v>
      </c>
      <c r="E490" s="20" t="inlineStr">
        <is>
          <t>IFC - ISSUED FOR CONSTRUCTION</t>
        </is>
      </c>
      <c r="F490" s="21" t="n">
        <v>8904</v>
      </c>
      <c r="G490" s="20" t="inlineStr">
        <is>
          <t>PIPE B36.10/36.19 A333 6-SMLS BE BE</t>
        </is>
      </c>
      <c r="H490" s="20" t="inlineStr">
        <is>
          <t>A333</t>
        </is>
      </c>
      <c r="I490" s="22" t="n">
        <v>8</v>
      </c>
      <c r="J490" s="21" t="inlineStr">
        <is>
          <t>STD</t>
        </is>
      </c>
      <c r="K490" s="20" t="inlineStr">
        <is>
          <t>I64108766</t>
        </is>
      </c>
      <c r="L490" s="22" t="n">
        <v>27.1</v>
      </c>
      <c r="M490" s="20">
        <f>IFERROR(LEFT(B490,SEARCH("_Rev",B490)-1),B490)</f>
        <v/>
      </c>
      <c r="N490" s="20">
        <f>IF(B490="","",IF(ISNUMBER(C490),IF(COUNTIFS($M$3:$M$1026,M490,$C$3:$C$1026,"&gt;"&amp;C490)=0,"CURRENT","SUPERSEDED"),"CURRENT"))</f>
        <v/>
      </c>
      <c r="O490" s="19" t="n"/>
    </row>
    <row r="491">
      <c r="A491" s="19" t="n"/>
      <c r="B491" s="20" t="inlineStr">
        <is>
          <t>4503-XH-DL-8904-8940-5009-GWS1-07_Rev0</t>
        </is>
      </c>
      <c r="C491" s="21" t="n">
        <v>0</v>
      </c>
      <c r="D491" s="21" t="n">
        <v>46230</v>
      </c>
      <c r="E491" s="20" t="inlineStr">
        <is>
          <t>IFC - ISSUED FOR CONSTRUCTION</t>
        </is>
      </c>
      <c r="F491" s="21" t="n">
        <v>8904</v>
      </c>
      <c r="G491" s="20" t="inlineStr">
        <is>
          <t>PIPE B36.10/36.19 A333 6-SMLS BE BE</t>
        </is>
      </c>
      <c r="H491" s="20" t="inlineStr">
        <is>
          <t>A333</t>
        </is>
      </c>
      <c r="I491" s="22" t="n">
        <v>8</v>
      </c>
      <c r="J491" s="21" t="inlineStr">
        <is>
          <t>STD</t>
        </is>
      </c>
      <c r="K491" s="20" t="inlineStr">
        <is>
          <t>I64108766</t>
        </is>
      </c>
      <c r="L491" s="22" t="n">
        <v>17.7</v>
      </c>
      <c r="M491" s="20">
        <f>IFERROR(LEFT(B491,SEARCH("_Rev",B491)-1),B491)</f>
        <v/>
      </c>
      <c r="N491" s="20">
        <f>IF(B491="","",IF(ISNUMBER(C491),IF(COUNTIFS($M$3:$M$1026,M491,$C$3:$C$1026,"&gt;"&amp;C491)=0,"CURRENT","SUPERSEDED"),"CURRENT"))</f>
        <v/>
      </c>
      <c r="O491" s="19" t="n"/>
    </row>
    <row r="492">
      <c r="A492" s="19" t="n"/>
      <c r="B492" s="20" t="inlineStr">
        <is>
          <t>4503-XH-DL-8904-8940-5009-GWS1-09_Rev0</t>
        </is>
      </c>
      <c r="C492" s="21" t="n">
        <v>0</v>
      </c>
      <c r="D492" s="21" t="n">
        <v>46230</v>
      </c>
      <c r="E492" s="20" t="inlineStr">
        <is>
          <t>IFI - ISSUED FOR INFORMATION</t>
        </is>
      </c>
      <c r="F492" s="21" t="n">
        <v>8904</v>
      </c>
      <c r="G492" s="20" t="inlineStr">
        <is>
          <t>PIPE B36.10/36.19 A333 6-SMLS PE PE</t>
        </is>
      </c>
      <c r="H492" s="20" t="inlineStr">
        <is>
          <t>A333</t>
        </is>
      </c>
      <c r="I492" s="22" t="n">
        <v>1</v>
      </c>
      <c r="J492" s="21" t="inlineStr">
        <is>
          <t>160</t>
        </is>
      </c>
      <c r="K492" s="20" t="inlineStr">
        <is>
          <t>I64108817</t>
        </is>
      </c>
      <c r="L492" s="22" t="n">
        <v>0.1</v>
      </c>
      <c r="M492" s="20">
        <f>IFERROR(LEFT(B492,SEARCH("_Rev",B492)-1),B492)</f>
        <v/>
      </c>
      <c r="N492" s="20">
        <f>IF(B492="","",IF(ISNUMBER(C492),IF(COUNTIFS($M$3:$M$1026,M492,$C$3:$C$1026,"&gt;"&amp;C492)=0,"CURRENT","SUPERSEDED"),"CURRENT"))</f>
        <v/>
      </c>
      <c r="O492" s="19" t="n"/>
    </row>
    <row r="493">
      <c r="A493" s="19" t="n"/>
      <c r="B493" s="20" t="inlineStr">
        <is>
          <t>4503-XH-DL-8904-8940-5009-GWS1-11_Rev0</t>
        </is>
      </c>
      <c r="C493" s="21" t="n">
        <v>0</v>
      </c>
      <c r="D493" s="21" t="n">
        <v>46230</v>
      </c>
      <c r="E493" s="20" t="inlineStr">
        <is>
          <t>IFI - ISSUED FOR INFORMATION</t>
        </is>
      </c>
      <c r="F493" s="21" t="n">
        <v>8904</v>
      </c>
      <c r="G493" s="20" t="inlineStr">
        <is>
          <t>PIPE B36.10/36.19 A333 6-SMLS PE PE</t>
        </is>
      </c>
      <c r="H493" s="20" t="inlineStr">
        <is>
          <t>A333</t>
        </is>
      </c>
      <c r="I493" s="22" t="n">
        <v>1</v>
      </c>
      <c r="J493" s="21" t="inlineStr">
        <is>
          <t>160</t>
        </is>
      </c>
      <c r="K493" s="20" t="inlineStr">
        <is>
          <t>I64108817</t>
        </is>
      </c>
      <c r="L493" s="22" t="n">
        <v>0.1</v>
      </c>
      <c r="M493" s="20">
        <f>IFERROR(LEFT(B493,SEARCH("_Rev",B493)-1),B493)</f>
        <v/>
      </c>
      <c r="N493" s="20">
        <f>IF(B493="","",IF(ISNUMBER(C493),IF(COUNTIFS($M$3:$M$1026,M493,$C$3:$C$1026,"&gt;"&amp;C493)=0,"CURRENT","SUPERSEDED"),"CURRENT"))</f>
        <v/>
      </c>
      <c r="O493" s="19" t="n"/>
    </row>
    <row r="494">
      <c r="A494" s="19" t="n"/>
      <c r="B494" s="20" t="inlineStr">
        <is>
          <t>4503-XH-DL-8904-8941-5003-HWR1-01_Rev0</t>
        </is>
      </c>
      <c r="C494" s="21" t="n">
        <v>0</v>
      </c>
      <c r="D494" s="21" t="n">
        <v>46232</v>
      </c>
      <c r="E494" s="20" t="inlineStr">
        <is>
          <t>IFC - ISSUED FOR CONSTRUCTION</t>
        </is>
      </c>
      <c r="F494" s="21" t="n">
        <v>8904</v>
      </c>
      <c r="G494" s="20" t="inlineStr">
        <is>
          <t>PIPE B36.10/36.19 A333 6-SMLS BE BE</t>
        </is>
      </c>
      <c r="H494" s="20" t="inlineStr">
        <is>
          <t>A333</t>
        </is>
      </c>
      <c r="I494" s="22" t="n">
        <v>14</v>
      </c>
      <c r="J494" s="21" t="inlineStr">
        <is>
          <t>STD</t>
        </is>
      </c>
      <c r="K494" s="20" t="inlineStr">
        <is>
          <t>I63649172</t>
        </is>
      </c>
      <c r="L494" s="22" t="n">
        <v>54</v>
      </c>
      <c r="M494" s="20">
        <f>IFERROR(LEFT(B494,SEARCH("_Rev",B494)-1),B494)</f>
        <v/>
      </c>
      <c r="N494" s="20">
        <f>IF(B494="","",IF(ISNUMBER(C494),IF(COUNTIFS($M$3:$M$1026,M494,$C$3:$C$1026,"&gt;"&amp;C494)=0,"CURRENT","SUPERSEDED"),"CURRENT"))</f>
        <v/>
      </c>
      <c r="O494" s="19" t="n"/>
    </row>
    <row r="495">
      <c r="A495" s="19" t="n"/>
      <c r="B495" s="20" t="inlineStr">
        <is>
          <t>4503-XH-DL-8904-8941-5003-HWR1-02_Rev0</t>
        </is>
      </c>
      <c r="C495" s="21" t="n">
        <v>0</v>
      </c>
      <c r="D495" s="21" t="n">
        <v>46232</v>
      </c>
      <c r="E495" s="20" t="inlineStr">
        <is>
          <t>IFC - ISSUED FOR CONSTRUCTION</t>
        </is>
      </c>
      <c r="F495" s="21" t="n">
        <v>8904</v>
      </c>
      <c r="G495" s="20" t="inlineStr">
        <is>
          <t>PIPE B36.10/36.19 A333 6-SMLS BE BE</t>
        </is>
      </c>
      <c r="H495" s="20" t="inlineStr">
        <is>
          <t>A333</t>
        </is>
      </c>
      <c r="I495" s="22" t="n">
        <v>14</v>
      </c>
      <c r="J495" s="21" t="inlineStr">
        <is>
          <t>STD</t>
        </is>
      </c>
      <c r="K495" s="20" t="inlineStr">
        <is>
          <t>I63649172</t>
        </is>
      </c>
      <c r="L495" s="22" t="n">
        <v>19.5</v>
      </c>
      <c r="M495" s="20">
        <f>IFERROR(LEFT(B495,SEARCH("_Rev",B495)-1),B495)</f>
        <v/>
      </c>
      <c r="N495" s="20">
        <f>IF(B495="","",IF(ISNUMBER(C495),IF(COUNTIFS($M$3:$M$1026,M495,$C$3:$C$1026,"&gt;"&amp;C495)=0,"CURRENT","SUPERSEDED"),"CURRENT"))</f>
        <v/>
      </c>
      <c r="O495" s="19" t="n"/>
    </row>
    <row r="496">
      <c r="A496" s="19" t="n"/>
      <c r="B496" s="20" t="inlineStr">
        <is>
          <t>4503-XH-DL-8904-8941-5003-HWR1-03_Rev0</t>
        </is>
      </c>
      <c r="C496" s="21" t="n">
        <v>0</v>
      </c>
      <c r="D496" s="21" t="n">
        <v>46232</v>
      </c>
      <c r="E496" s="20" t="inlineStr">
        <is>
          <t>IFC - ISSUED FOR CONSTRUCTION</t>
        </is>
      </c>
      <c r="F496" s="21" t="n">
        <v>8904</v>
      </c>
      <c r="G496" s="20" t="inlineStr">
        <is>
          <t>PIPE B36.10/36.19 A333 6-SMLS BE BE</t>
        </is>
      </c>
      <c r="H496" s="20" t="inlineStr">
        <is>
          <t>A333</t>
        </is>
      </c>
      <c r="I496" s="22" t="n">
        <v>12</v>
      </c>
      <c r="J496" s="21" t="inlineStr">
        <is>
          <t>STD</t>
        </is>
      </c>
      <c r="K496" s="20" t="inlineStr">
        <is>
          <t>I64955933</t>
        </is>
      </c>
      <c r="L496" s="22" t="n">
        <v>28.1</v>
      </c>
      <c r="M496" s="20">
        <f>IFERROR(LEFT(B496,SEARCH("_Rev",B496)-1),B496)</f>
        <v/>
      </c>
      <c r="N496" s="20">
        <f>IF(B496="","",IF(ISNUMBER(C496),IF(COUNTIFS($M$3:$M$1026,M496,$C$3:$C$1026,"&gt;"&amp;C496)=0,"CURRENT","SUPERSEDED"),"CURRENT"))</f>
        <v/>
      </c>
      <c r="O496" s="19" t="n"/>
    </row>
    <row r="497">
      <c r="A497" s="19" t="n"/>
      <c r="B497" s="20" t="inlineStr">
        <is>
          <t>4503-XH-DL-8904-8941-5003-HWR1-04_Rev0</t>
        </is>
      </c>
      <c r="C497" s="21" t="n">
        <v>0</v>
      </c>
      <c r="D497" s="21" t="n">
        <v>46227</v>
      </c>
      <c r="E497" s="20" t="inlineStr">
        <is>
          <t>IFC - ISSUED FOR CONSTRUCTION</t>
        </is>
      </c>
      <c r="F497" s="21" t="n">
        <v>8904</v>
      </c>
      <c r="G497" s="20" t="inlineStr">
        <is>
          <t>PIPE B36.10/36.19 A333 6-SMLS BE BE</t>
        </is>
      </c>
      <c r="H497" s="20" t="inlineStr">
        <is>
          <t>A333</t>
        </is>
      </c>
      <c r="I497" s="22" t="n">
        <v>14</v>
      </c>
      <c r="J497" s="21" t="inlineStr">
        <is>
          <t>STD</t>
        </is>
      </c>
      <c r="K497" s="20" t="inlineStr">
        <is>
          <t>I63649172</t>
        </is>
      </c>
      <c r="L497" s="22" t="n">
        <v>27.8</v>
      </c>
      <c r="M497" s="20">
        <f>IFERROR(LEFT(B497,SEARCH("_Rev",B497)-1),B497)</f>
        <v/>
      </c>
      <c r="N497" s="20">
        <f>IF(B497="","",IF(ISNUMBER(C497),IF(COUNTIFS($M$3:$M$1026,M497,$C$3:$C$1026,"&gt;"&amp;C497)=0,"CURRENT","SUPERSEDED"),"CURRENT"))</f>
        <v/>
      </c>
      <c r="O497" s="19" t="n"/>
    </row>
    <row r="498">
      <c r="A498" s="19" t="n"/>
      <c r="B498" s="20" t="inlineStr">
        <is>
          <t>4503-XH-DL-8904-8941-5003-HWR1-05_Rev0</t>
        </is>
      </c>
      <c r="C498" s="21" t="n">
        <v>0</v>
      </c>
      <c r="D498" s="21" t="n">
        <v>46227</v>
      </c>
      <c r="E498" s="20" t="inlineStr">
        <is>
          <t>IFC - ISSUED FOR CONSTRUCTION</t>
        </is>
      </c>
      <c r="F498" s="21" t="n">
        <v>8904</v>
      </c>
      <c r="G498" s="20" t="inlineStr">
        <is>
          <t>PIPE B36.10/36.19 A333 6-SMLS BE BE</t>
        </is>
      </c>
      <c r="H498" s="20" t="inlineStr">
        <is>
          <t>A333</t>
        </is>
      </c>
      <c r="I498" s="22" t="n">
        <v>14</v>
      </c>
      <c r="J498" s="21" t="inlineStr">
        <is>
          <t>STD</t>
        </is>
      </c>
      <c r="K498" s="20" t="inlineStr">
        <is>
          <t>I63649172</t>
        </is>
      </c>
      <c r="L498" s="22" t="n">
        <v>19.5</v>
      </c>
      <c r="M498" s="20">
        <f>IFERROR(LEFT(B498,SEARCH("_Rev",B498)-1),B498)</f>
        <v/>
      </c>
      <c r="N498" s="20">
        <f>IF(B498="","",IF(ISNUMBER(C498),IF(COUNTIFS($M$3:$M$1026,M498,$C$3:$C$1026,"&gt;"&amp;C498)=0,"CURRENT","SUPERSEDED"),"CURRENT"))</f>
        <v/>
      </c>
      <c r="O498" s="19" t="n"/>
    </row>
    <row r="499">
      <c r="A499" s="19" t="n"/>
      <c r="B499" s="20" t="inlineStr">
        <is>
          <t>4503-XH-DL-8904-8941-5003-HWR1-05_Rev0</t>
        </is>
      </c>
      <c r="C499" s="21" t="n">
        <v>0</v>
      </c>
      <c r="D499" s="21" t="n">
        <v>46227</v>
      </c>
      <c r="E499" s="20" t="inlineStr">
        <is>
          <t>IFC - ISSUED FOR CONSTRUCTION</t>
        </is>
      </c>
      <c r="F499" s="21" t="n">
        <v>8904</v>
      </c>
      <c r="G499" s="20" t="inlineStr">
        <is>
          <t>PIPE B36.10/36.19 A333 6-SMLS BE BE</t>
        </is>
      </c>
      <c r="H499" s="20" t="inlineStr">
        <is>
          <t>A333</t>
        </is>
      </c>
      <c r="I499" s="22" t="n">
        <v>12</v>
      </c>
      <c r="J499" s="21" t="inlineStr">
        <is>
          <t>STD</t>
        </is>
      </c>
      <c r="K499" s="20" t="inlineStr">
        <is>
          <t>I64955933</t>
        </is>
      </c>
      <c r="L499" s="22" t="n">
        <v>5.6</v>
      </c>
      <c r="M499" s="20">
        <f>IFERROR(LEFT(B499,SEARCH("_Rev",B499)-1),B499)</f>
        <v/>
      </c>
      <c r="N499" s="20">
        <f>IF(B499="","",IF(ISNUMBER(C499),IF(COUNTIFS($M$3:$M$1026,M499,$C$3:$C$1026,"&gt;"&amp;C499)=0,"CURRENT","SUPERSEDED"),"CURRENT"))</f>
        <v/>
      </c>
      <c r="O499" s="19" t="n"/>
    </row>
    <row r="500">
      <c r="A500" s="19" t="n"/>
      <c r="B500" s="20" t="inlineStr">
        <is>
          <t>4503-XH-DL-8904-8941-5003-HWR1-06_Rev0</t>
        </is>
      </c>
      <c r="C500" s="21" t="n">
        <v>0</v>
      </c>
      <c r="D500" s="21" t="n">
        <v>46227</v>
      </c>
      <c r="E500" s="20" t="inlineStr">
        <is>
          <t>IFC - ISSUED FOR CONSTRUCTION</t>
        </is>
      </c>
      <c r="F500" s="21" t="n">
        <v>8904</v>
      </c>
      <c r="G500" s="20" t="inlineStr">
        <is>
          <t>PIPE B36.10/36.19 A333 6-SMLS BE BE</t>
        </is>
      </c>
      <c r="H500" s="20" t="inlineStr">
        <is>
          <t>A333</t>
        </is>
      </c>
      <c r="I500" s="22" t="n">
        <v>12</v>
      </c>
      <c r="J500" s="21" t="inlineStr">
        <is>
          <t>STD</t>
        </is>
      </c>
      <c r="K500" s="20" t="inlineStr">
        <is>
          <t>I64955933</t>
        </is>
      </c>
      <c r="L500" s="22" t="n">
        <v>28.6</v>
      </c>
      <c r="M500" s="20">
        <f>IFERROR(LEFT(B500,SEARCH("_Rev",B500)-1),B500)</f>
        <v/>
      </c>
      <c r="N500" s="20">
        <f>IF(B500="","",IF(ISNUMBER(C500),IF(COUNTIFS($M$3:$M$1026,M500,$C$3:$C$1026,"&gt;"&amp;C500)=0,"CURRENT","SUPERSEDED"),"CURRENT"))</f>
        <v/>
      </c>
      <c r="O500" s="19" t="n"/>
    </row>
    <row r="501">
      <c r="A501" s="19" t="n"/>
      <c r="B501" s="20" t="inlineStr">
        <is>
          <t>4503-XH-DL-8904-8941-5003-HWR1-07_Rev0</t>
        </is>
      </c>
      <c r="C501" s="21" t="n">
        <v>0</v>
      </c>
      <c r="D501" s="21" t="n">
        <v>46227</v>
      </c>
      <c r="E501" s="20" t="inlineStr">
        <is>
          <t>IFC - ISSUED FOR CONSTRUCTION</t>
        </is>
      </c>
      <c r="F501" s="21" t="n">
        <v>8904</v>
      </c>
      <c r="G501" s="20" t="inlineStr">
        <is>
          <t>PIPE B36.10/36.19 A333 6-SMLS BE BE</t>
        </is>
      </c>
      <c r="H501" s="20" t="inlineStr">
        <is>
          <t>A333</t>
        </is>
      </c>
      <c r="I501" s="22" t="n">
        <v>12</v>
      </c>
      <c r="J501" s="21" t="inlineStr">
        <is>
          <t>STD</t>
        </is>
      </c>
      <c r="K501" s="20" t="inlineStr">
        <is>
          <t>I64955933</t>
        </is>
      </c>
      <c r="L501" s="22" t="n">
        <v>16.1</v>
      </c>
      <c r="M501" s="20">
        <f>IFERROR(LEFT(B501,SEARCH("_Rev",B501)-1),B501)</f>
        <v/>
      </c>
      <c r="N501" s="20">
        <f>IF(B501="","",IF(ISNUMBER(C501),IF(COUNTIFS($M$3:$M$1026,M501,$C$3:$C$1026,"&gt;"&amp;C501)=0,"CURRENT","SUPERSEDED"),"CURRENT"))</f>
        <v/>
      </c>
      <c r="O501" s="19" t="n"/>
    </row>
    <row r="502">
      <c r="A502" s="19" t="n"/>
      <c r="B502" s="20" t="inlineStr">
        <is>
          <t>4503-XH-DL-8904-8941-5003-HWR1-08_Rev0</t>
        </is>
      </c>
      <c r="C502" s="21" t="n">
        <v>0</v>
      </c>
      <c r="D502" s="21" t="n">
        <v>46227</v>
      </c>
      <c r="E502" s="20" t="inlineStr">
        <is>
          <t>IFI - ISSUED FOR INFORMATION</t>
        </is>
      </c>
      <c r="F502" s="21" t="n">
        <v>8904</v>
      </c>
      <c r="G502" s="20" t="inlineStr">
        <is>
          <t>PIPE B36.10/36.19 A333 6-SMLS PE PE</t>
        </is>
      </c>
      <c r="H502" s="20" t="inlineStr">
        <is>
          <t>A333</t>
        </is>
      </c>
      <c r="I502" s="22" t="n">
        <v>1</v>
      </c>
      <c r="J502" s="21" t="inlineStr">
        <is>
          <t>XS</t>
        </is>
      </c>
      <c r="K502" s="20" t="inlineStr">
        <is>
          <t>I63649231</t>
        </is>
      </c>
      <c r="L502" s="22" t="n">
        <v>0.2</v>
      </c>
      <c r="M502" s="20">
        <f>IFERROR(LEFT(B502,SEARCH("_Rev",B502)-1),B502)</f>
        <v/>
      </c>
      <c r="N502" s="20">
        <f>IF(B502="","",IF(ISNUMBER(C502),IF(COUNTIFS($M$3:$M$1026,M502,$C$3:$C$1026,"&gt;"&amp;C502)=0,"CURRENT","SUPERSEDED"),"CURRENT"))</f>
        <v/>
      </c>
      <c r="O502" s="19" t="n"/>
    </row>
    <row r="503">
      <c r="A503" s="19" t="n"/>
      <c r="B503" s="20" t="inlineStr">
        <is>
          <t>4503-XH-DL-8904-8941-5003-HWR1-09_Rev0</t>
        </is>
      </c>
      <c r="C503" s="21" t="n">
        <v>0</v>
      </c>
      <c r="D503" s="21" t="n">
        <v>46227</v>
      </c>
      <c r="E503" s="20" t="inlineStr">
        <is>
          <t>IFI - ISSUED FOR INFORMATION</t>
        </is>
      </c>
      <c r="F503" s="21" t="n">
        <v>8904</v>
      </c>
      <c r="G503" s="20" t="inlineStr">
        <is>
          <t>PIPE B36.10/36.19 A333 6-SMLS PE PE</t>
        </is>
      </c>
      <c r="H503" s="20" t="inlineStr">
        <is>
          <t>A333</t>
        </is>
      </c>
      <c r="I503" s="22" t="n">
        <v>1</v>
      </c>
      <c r="J503" s="21" t="inlineStr">
        <is>
          <t>XS</t>
        </is>
      </c>
      <c r="K503" s="20" t="inlineStr">
        <is>
          <t>I63649231</t>
        </is>
      </c>
      <c r="L503" s="22" t="n">
        <v>0.2</v>
      </c>
      <c r="M503" s="20">
        <f>IFERROR(LEFT(B503,SEARCH("_Rev",B503)-1),B503)</f>
        <v/>
      </c>
      <c r="N503" s="20">
        <f>IF(B503="","",IF(ISNUMBER(C503),IF(COUNTIFS($M$3:$M$1026,M503,$C$3:$C$1026,"&gt;"&amp;C503)=0,"CURRENT","SUPERSEDED"),"CURRENT"))</f>
        <v/>
      </c>
      <c r="O503" s="19" t="n"/>
    </row>
    <row r="504">
      <c r="A504" s="19" t="n"/>
      <c r="B504" s="20" t="inlineStr">
        <is>
          <t>4503-XH-DL-8904-8941-5003-HWS1-01_Rev0</t>
        </is>
      </c>
      <c r="C504" s="21" t="n">
        <v>0</v>
      </c>
      <c r="D504" s="21" t="n">
        <v>46232</v>
      </c>
      <c r="E504" s="20" t="inlineStr">
        <is>
          <t>IFC - ISSUED FOR CONSTRUCTION</t>
        </is>
      </c>
      <c r="F504" s="21" t="n">
        <v>8904</v>
      </c>
      <c r="G504" s="20" t="inlineStr">
        <is>
          <t>PIPE B36.10/36.19 A333 6-SMLS BE BE</t>
        </is>
      </c>
      <c r="H504" s="20" t="inlineStr">
        <is>
          <t>A333</t>
        </is>
      </c>
      <c r="I504" s="22" t="n">
        <v>14</v>
      </c>
      <c r="J504" s="21" t="inlineStr">
        <is>
          <t>STD</t>
        </is>
      </c>
      <c r="K504" s="20" t="inlineStr">
        <is>
          <t>I63649172</t>
        </is>
      </c>
      <c r="L504" s="22" t="n">
        <v>54</v>
      </c>
      <c r="M504" s="20">
        <f>IFERROR(LEFT(B504,SEARCH("_Rev",B504)-1),B504)</f>
        <v/>
      </c>
      <c r="N504" s="20">
        <f>IF(B504="","",IF(ISNUMBER(C504),IF(COUNTIFS($M$3:$M$1026,M504,$C$3:$C$1026,"&gt;"&amp;C504)=0,"CURRENT","SUPERSEDED"),"CURRENT"))</f>
        <v/>
      </c>
      <c r="O504" s="19" t="n"/>
    </row>
    <row r="505">
      <c r="A505" s="19" t="n"/>
      <c r="B505" s="20" t="inlineStr">
        <is>
          <t>4503-XH-DL-8904-8941-5003-HWS1-02_Rev0</t>
        </is>
      </c>
      <c r="C505" s="21" t="n">
        <v>0</v>
      </c>
      <c r="D505" s="21" t="n">
        <v>46232</v>
      </c>
      <c r="E505" s="20" t="inlineStr">
        <is>
          <t>IFC - ISSUED FOR CONSTRUCTION</t>
        </is>
      </c>
      <c r="F505" s="21" t="n">
        <v>8904</v>
      </c>
      <c r="G505" s="20" t="inlineStr">
        <is>
          <t>PIPE B36.10/36.19 A333 6-SMLS BE BE</t>
        </is>
      </c>
      <c r="H505" s="20" t="inlineStr">
        <is>
          <t>A333</t>
        </is>
      </c>
      <c r="I505" s="22" t="n">
        <v>14</v>
      </c>
      <c r="J505" s="21" t="inlineStr">
        <is>
          <t>STD</t>
        </is>
      </c>
      <c r="K505" s="20" t="inlineStr">
        <is>
          <t>I63649172</t>
        </is>
      </c>
      <c r="L505" s="22" t="n">
        <v>20.2</v>
      </c>
      <c r="M505" s="20">
        <f>IFERROR(LEFT(B505,SEARCH("_Rev",B505)-1),B505)</f>
        <v/>
      </c>
      <c r="N505" s="20">
        <f>IF(B505="","",IF(ISNUMBER(C505),IF(COUNTIFS($M$3:$M$1026,M505,$C$3:$C$1026,"&gt;"&amp;C505)=0,"CURRENT","SUPERSEDED"),"CURRENT"))</f>
        <v/>
      </c>
      <c r="O505" s="19" t="n"/>
    </row>
    <row r="506">
      <c r="A506" s="19" t="n"/>
      <c r="B506" s="20" t="inlineStr">
        <is>
          <t>4503-XH-DL-8904-8941-5003-HWS1-03_Rev0</t>
        </is>
      </c>
      <c r="C506" s="21" t="n">
        <v>0</v>
      </c>
      <c r="D506" s="21" t="n">
        <v>46228</v>
      </c>
      <c r="E506" s="20" t="inlineStr">
        <is>
          <t>IFC - ISSUED FOR CONSTRUCTION</t>
        </is>
      </c>
      <c r="F506" s="21" t="n">
        <v>8904</v>
      </c>
      <c r="G506" s="20" t="inlineStr">
        <is>
          <t>PIPE B36.10/36.19 A333 6-SMLS BE BE</t>
        </is>
      </c>
      <c r="H506" s="20" t="inlineStr">
        <is>
          <t>A333</t>
        </is>
      </c>
      <c r="I506" s="22" t="n">
        <v>12</v>
      </c>
      <c r="J506" s="21" t="inlineStr">
        <is>
          <t>STD</t>
        </is>
      </c>
      <c r="K506" s="20" t="inlineStr">
        <is>
          <t>I64955933</t>
        </is>
      </c>
      <c r="L506" s="22" t="n">
        <v>28.9</v>
      </c>
      <c r="M506" s="20">
        <f>IFERROR(LEFT(B506,SEARCH("_Rev",B506)-1),B506)</f>
        <v/>
      </c>
      <c r="N506" s="20">
        <f>IF(B506="","",IF(ISNUMBER(C506),IF(COUNTIFS($M$3:$M$1026,M506,$C$3:$C$1026,"&gt;"&amp;C506)=0,"CURRENT","SUPERSEDED"),"CURRENT"))</f>
        <v/>
      </c>
      <c r="O506" s="19" t="n"/>
    </row>
    <row r="507">
      <c r="A507" s="19" t="n"/>
      <c r="B507" s="20" t="inlineStr">
        <is>
          <t>4503-XH-DL-8904-8941-5003-HWS1-04_Rev0</t>
        </is>
      </c>
      <c r="C507" s="21" t="n">
        <v>0</v>
      </c>
      <c r="D507" s="21" t="n">
        <v>46227</v>
      </c>
      <c r="E507" s="20" t="inlineStr">
        <is>
          <t>IFC - ISSUED FOR CONSTRUCTION</t>
        </is>
      </c>
      <c r="F507" s="21" t="n">
        <v>8904</v>
      </c>
      <c r="G507" s="20" t="inlineStr">
        <is>
          <t>PIPE B36.10/36.19 A333 6-SMLS BE BE</t>
        </is>
      </c>
      <c r="H507" s="20" t="inlineStr">
        <is>
          <t>A333</t>
        </is>
      </c>
      <c r="I507" s="22" t="n">
        <v>14</v>
      </c>
      <c r="J507" s="21" t="inlineStr">
        <is>
          <t>STD</t>
        </is>
      </c>
      <c r="K507" s="20" t="inlineStr">
        <is>
          <t>I63649172</t>
        </is>
      </c>
      <c r="L507" s="22" t="n">
        <v>26.3</v>
      </c>
      <c r="M507" s="20">
        <f>IFERROR(LEFT(B507,SEARCH("_Rev",B507)-1),B507)</f>
        <v/>
      </c>
      <c r="N507" s="20">
        <f>IF(B507="","",IF(ISNUMBER(C507),IF(COUNTIFS($M$3:$M$1026,M507,$C$3:$C$1026,"&gt;"&amp;C507)=0,"CURRENT","SUPERSEDED"),"CURRENT"))</f>
        <v/>
      </c>
      <c r="O507" s="19" t="n"/>
    </row>
    <row r="508">
      <c r="A508" s="19" t="n"/>
      <c r="B508" s="20" t="inlineStr">
        <is>
          <t>4503-XH-DL-8904-8941-5003-HWS1-05_Rev0</t>
        </is>
      </c>
      <c r="C508" s="21" t="n">
        <v>0</v>
      </c>
      <c r="D508" s="21" t="n">
        <v>46227</v>
      </c>
      <c r="E508" s="20" t="inlineStr">
        <is>
          <t>IFC - ISSUED FOR CONSTRUCTION</t>
        </is>
      </c>
      <c r="F508" s="21" t="n">
        <v>8904</v>
      </c>
      <c r="G508" s="20" t="inlineStr">
        <is>
          <t>PIPE B36.10/36.19 A333 6-SMLS BE BE</t>
        </is>
      </c>
      <c r="H508" s="20" t="inlineStr">
        <is>
          <t>A333</t>
        </is>
      </c>
      <c r="I508" s="22" t="n">
        <v>14</v>
      </c>
      <c r="J508" s="21" t="inlineStr">
        <is>
          <t>STD</t>
        </is>
      </c>
      <c r="K508" s="20" t="inlineStr">
        <is>
          <t>I63649172</t>
        </is>
      </c>
      <c r="L508" s="22" t="n">
        <v>21</v>
      </c>
      <c r="M508" s="20">
        <f>IFERROR(LEFT(B508,SEARCH("_Rev",B508)-1),B508)</f>
        <v/>
      </c>
      <c r="N508" s="20">
        <f>IF(B508="","",IF(ISNUMBER(C508),IF(COUNTIFS($M$3:$M$1026,M508,$C$3:$C$1026,"&gt;"&amp;C508)=0,"CURRENT","SUPERSEDED"),"CURRENT"))</f>
        <v/>
      </c>
      <c r="O508" s="19" t="n"/>
    </row>
    <row r="509">
      <c r="A509" s="19" t="n"/>
      <c r="B509" s="20" t="inlineStr">
        <is>
          <t>4503-XH-DL-8904-8941-5003-HWS1-05_Rev0</t>
        </is>
      </c>
      <c r="C509" s="21" t="n">
        <v>0</v>
      </c>
      <c r="D509" s="21" t="n">
        <v>46227</v>
      </c>
      <c r="E509" s="20" t="inlineStr">
        <is>
          <t>IFC - ISSUED FOR CONSTRUCTION</t>
        </is>
      </c>
      <c r="F509" s="21" t="n">
        <v>8904</v>
      </c>
      <c r="G509" s="20" t="inlineStr">
        <is>
          <t>PIPE B36.10/36.19 A333 6-SMLS BE BE</t>
        </is>
      </c>
      <c r="H509" s="20" t="inlineStr">
        <is>
          <t>A333</t>
        </is>
      </c>
      <c r="I509" s="22" t="n">
        <v>12</v>
      </c>
      <c r="J509" s="21" t="inlineStr">
        <is>
          <t>STD</t>
        </is>
      </c>
      <c r="K509" s="20" t="inlineStr">
        <is>
          <t>I64955933</t>
        </is>
      </c>
      <c r="L509" s="22" t="n">
        <v>4.9</v>
      </c>
      <c r="M509" s="20">
        <f>IFERROR(LEFT(B509,SEARCH("_Rev",B509)-1),B509)</f>
        <v/>
      </c>
      <c r="N509" s="20">
        <f>IF(B509="","",IF(ISNUMBER(C509),IF(COUNTIFS($M$3:$M$1026,M509,$C$3:$C$1026,"&gt;"&amp;C509)=0,"CURRENT","SUPERSEDED"),"CURRENT"))</f>
        <v/>
      </c>
      <c r="O509" s="19" t="n"/>
    </row>
    <row r="510">
      <c r="A510" s="19" t="n"/>
      <c r="B510" s="20" t="inlineStr">
        <is>
          <t>4503-XH-DL-8904-8941-5003-HWS1-06_Rev0</t>
        </is>
      </c>
      <c r="C510" s="21" t="n">
        <v>0</v>
      </c>
      <c r="D510" s="21" t="n">
        <v>46227</v>
      </c>
      <c r="E510" s="20" t="inlineStr">
        <is>
          <t>IFC - ISSUED FOR CONSTRUCTION</t>
        </is>
      </c>
      <c r="F510" s="21" t="n">
        <v>8904</v>
      </c>
      <c r="G510" s="20" t="inlineStr">
        <is>
          <t>PIPE B36.10/36.19 A333 6-SMLS BE BE</t>
        </is>
      </c>
      <c r="H510" s="20" t="inlineStr">
        <is>
          <t>A333</t>
        </is>
      </c>
      <c r="I510" s="22" t="n">
        <v>12</v>
      </c>
      <c r="J510" s="21" t="inlineStr">
        <is>
          <t>STD</t>
        </is>
      </c>
      <c r="K510" s="20" t="inlineStr">
        <is>
          <t>I64955933</t>
        </is>
      </c>
      <c r="L510" s="22" t="n">
        <v>27</v>
      </c>
      <c r="M510" s="20">
        <f>IFERROR(LEFT(B510,SEARCH("_Rev",B510)-1),B510)</f>
        <v/>
      </c>
      <c r="N510" s="20">
        <f>IF(B510="","",IF(ISNUMBER(C510),IF(COUNTIFS($M$3:$M$1026,M510,$C$3:$C$1026,"&gt;"&amp;C510)=0,"CURRENT","SUPERSEDED"),"CURRENT"))</f>
        <v/>
      </c>
      <c r="O510" s="19" t="n"/>
    </row>
    <row r="511">
      <c r="A511" s="19" t="n"/>
      <c r="B511" s="20" t="inlineStr">
        <is>
          <t>4503-XH-DL-8904-8941-5003-HWS1-07_Rev0</t>
        </is>
      </c>
      <c r="C511" s="21" t="n">
        <v>0</v>
      </c>
      <c r="D511" s="21" t="n">
        <v>46227</v>
      </c>
      <c r="E511" s="20" t="inlineStr">
        <is>
          <t>IFC - ISSUED FOR CONSTRUCTION</t>
        </is>
      </c>
      <c r="F511" s="21" t="n">
        <v>8904</v>
      </c>
      <c r="G511" s="20" t="inlineStr">
        <is>
          <t>PIPE B36.10/36.19 A333 6-SMLS BE BE</t>
        </is>
      </c>
      <c r="H511" s="20" t="inlineStr">
        <is>
          <t>A333</t>
        </is>
      </c>
      <c r="I511" s="22" t="n">
        <v>12</v>
      </c>
      <c r="J511" s="21" t="inlineStr">
        <is>
          <t>STD</t>
        </is>
      </c>
      <c r="K511" s="20" t="inlineStr">
        <is>
          <t>I64955933</t>
        </is>
      </c>
      <c r="L511" s="22" t="n">
        <v>16.9</v>
      </c>
      <c r="M511" s="20">
        <f>IFERROR(LEFT(B511,SEARCH("_Rev",B511)-1),B511)</f>
        <v/>
      </c>
      <c r="N511" s="20">
        <f>IF(B511="","",IF(ISNUMBER(C511),IF(COUNTIFS($M$3:$M$1026,M511,$C$3:$C$1026,"&gt;"&amp;C511)=0,"CURRENT","SUPERSEDED"),"CURRENT"))</f>
        <v/>
      </c>
      <c r="O511" s="19" t="n"/>
    </row>
    <row r="512">
      <c r="A512" s="19" t="n"/>
      <c r="B512" s="20" t="inlineStr">
        <is>
          <t>4503-XH-DL-8904-8941-5003-HWS1-08_Rev0</t>
        </is>
      </c>
      <c r="C512" s="21" t="n">
        <v>0</v>
      </c>
      <c r="D512" s="21" t="n">
        <v>46227</v>
      </c>
      <c r="E512" s="20" t="inlineStr">
        <is>
          <t>IFI - ISSUED FOR INFORMATION</t>
        </is>
      </c>
      <c r="F512" s="21" t="n">
        <v>8904</v>
      </c>
      <c r="G512" s="20" t="inlineStr">
        <is>
          <t>PIPE B36.10/36.19 A333 6-SMLS PE PE</t>
        </is>
      </c>
      <c r="H512" s="20" t="inlineStr">
        <is>
          <t>A333</t>
        </is>
      </c>
      <c r="I512" s="22" t="n">
        <v>1</v>
      </c>
      <c r="J512" s="21" t="inlineStr">
        <is>
          <t>XS</t>
        </is>
      </c>
      <c r="K512" s="20" t="inlineStr">
        <is>
          <t>I63649231</t>
        </is>
      </c>
      <c r="L512" s="22" t="n">
        <v>0.2</v>
      </c>
      <c r="M512" s="20">
        <f>IFERROR(LEFT(B512,SEARCH("_Rev",B512)-1),B512)</f>
        <v/>
      </c>
      <c r="N512" s="20">
        <f>IF(B512="","",IF(ISNUMBER(C512),IF(COUNTIFS($M$3:$M$1026,M512,$C$3:$C$1026,"&gt;"&amp;C512)=0,"CURRENT","SUPERSEDED"),"CURRENT"))</f>
        <v/>
      </c>
      <c r="O512" s="19" t="n"/>
    </row>
    <row r="513">
      <c r="A513" s="19" t="n"/>
      <c r="B513" s="20" t="inlineStr">
        <is>
          <t>4503-XH-DL-8904-8941-5003-HWS1-09_Rev0</t>
        </is>
      </c>
      <c r="C513" s="21" t="n">
        <v>0</v>
      </c>
      <c r="D513" s="21" t="n">
        <v>46227</v>
      </c>
      <c r="E513" s="20" t="inlineStr">
        <is>
          <t>IFI - ISSUED FOR INFORMATION</t>
        </is>
      </c>
      <c r="F513" s="21" t="n">
        <v>8904</v>
      </c>
      <c r="G513" s="20" t="inlineStr">
        <is>
          <t>PIPE B36.10/36.19 A333 6-SMLS PE PE</t>
        </is>
      </c>
      <c r="H513" s="20" t="inlineStr">
        <is>
          <t>A333</t>
        </is>
      </c>
      <c r="I513" s="22" t="n">
        <v>1</v>
      </c>
      <c r="J513" s="21" t="inlineStr">
        <is>
          <t>XS</t>
        </is>
      </c>
      <c r="K513" s="20" t="inlineStr">
        <is>
          <t>I63649231</t>
        </is>
      </c>
      <c r="L513" s="22" t="n">
        <v>0.2</v>
      </c>
      <c r="M513" s="20">
        <f>IFERROR(LEFT(B513,SEARCH("_Rev",B513)-1),B513)</f>
        <v/>
      </c>
      <c r="N513" s="20">
        <f>IF(B513="","",IF(ISNUMBER(C513),IF(COUNTIFS($M$3:$M$1026,M513,$C$3:$C$1026,"&gt;"&amp;C513)=0,"CURRENT","SUPERSEDED"),"CURRENT"))</f>
        <v/>
      </c>
      <c r="O513" s="19" t="n"/>
    </row>
    <row r="514">
      <c r="A514" s="19" t="n"/>
      <c r="B514" s="20" t="inlineStr">
        <is>
          <t>4503-XH-DL-8904-8941-5010-HWR1-01_Rev0</t>
        </is>
      </c>
      <c r="C514" s="21" t="n">
        <v>0</v>
      </c>
      <c r="D514" s="21" t="n">
        <v>46228</v>
      </c>
      <c r="E514" s="20" t="inlineStr">
        <is>
          <t>IFC - ISSUED FOR CONSTRUCTION</t>
        </is>
      </c>
      <c r="F514" s="21" t="n">
        <v>8904</v>
      </c>
      <c r="G514" s="20" t="inlineStr">
        <is>
          <t>PIPE B36.10/36.19 A333 6-SMLS BE BE</t>
        </is>
      </c>
      <c r="H514" s="20" t="inlineStr">
        <is>
          <t>A333</t>
        </is>
      </c>
      <c r="I514" s="22" t="n">
        <v>10</v>
      </c>
      <c r="J514" s="21" t="inlineStr">
        <is>
          <t>STD</t>
        </is>
      </c>
      <c r="K514" s="20" t="inlineStr">
        <is>
          <t>I64108754</t>
        </is>
      </c>
      <c r="L514" s="22" t="n">
        <v>31.9</v>
      </c>
      <c r="M514" s="20">
        <f>IFERROR(LEFT(B514,SEARCH("_Rev",B514)-1),B514)</f>
        <v/>
      </c>
      <c r="N514" s="20">
        <f>IF(B514="","",IF(ISNUMBER(C514),IF(COUNTIFS($M$3:$M$1026,M514,$C$3:$C$1026,"&gt;"&amp;C514)=0,"CURRENT","SUPERSEDED"),"CURRENT"))</f>
        <v/>
      </c>
      <c r="O514" s="19" t="n"/>
    </row>
    <row r="515">
      <c r="A515" s="19" t="n"/>
      <c r="B515" s="20" t="inlineStr">
        <is>
          <t>4503-XH-DL-8904-8950-5022-LN-01_Rev0</t>
        </is>
      </c>
      <c r="C515" s="21" t="n">
        <v>0</v>
      </c>
      <c r="D515" s="21" t="n">
        <v>46227</v>
      </c>
      <c r="E515" s="20" t="inlineStr">
        <is>
          <t>IFC - ISSUED FOR CONSTRUCTION</t>
        </is>
      </c>
      <c r="F515" s="21" t="n">
        <v>8904</v>
      </c>
      <c r="G515" s="20" t="inlineStr">
        <is>
          <t>PIPE B36.10/36.19 A333 6-SMLS BE BE</t>
        </is>
      </c>
      <c r="H515" s="20" t="inlineStr">
        <is>
          <t>A333</t>
        </is>
      </c>
      <c r="I515" s="22" t="n">
        <v>16</v>
      </c>
      <c r="J515" s="21" t="inlineStr">
        <is>
          <t>STD</t>
        </is>
      </c>
      <c r="K515" s="20" t="inlineStr">
        <is>
          <t>I65585719</t>
        </is>
      </c>
      <c r="L515" s="22" t="n">
        <v>54</v>
      </c>
      <c r="M515" s="20">
        <f>IFERROR(LEFT(B515,SEARCH("_Rev",B515)-1),B515)</f>
        <v/>
      </c>
      <c r="N515" s="20">
        <f>IF(B515="","",IF(ISNUMBER(C515),IF(COUNTIFS($M$3:$M$1026,M515,$C$3:$C$1026,"&gt;"&amp;C515)=0,"CURRENT","SUPERSEDED"),"CURRENT"))</f>
        <v/>
      </c>
      <c r="O515" s="19" t="n"/>
    </row>
    <row r="516">
      <c r="A516" s="19" t="n"/>
      <c r="B516" s="20" t="inlineStr">
        <is>
          <t>4503-XH-DL-8904-8950-5022-LN-03_Rev0</t>
        </is>
      </c>
      <c r="C516" s="21" t="n">
        <v>0</v>
      </c>
      <c r="D516" s="21" t="n">
        <v>46227</v>
      </c>
      <c r="E516" s="20" t="inlineStr">
        <is>
          <t>IFC - ISSUED FOR CONSTRUCTION</t>
        </is>
      </c>
      <c r="F516" s="21" t="n">
        <v>8904</v>
      </c>
      <c r="G516" s="20" t="inlineStr">
        <is>
          <t>PIPE B36.10/36.19 A333 6-SMLS BE BE</t>
        </is>
      </c>
      <c r="H516" s="20" t="inlineStr">
        <is>
          <t>A333</t>
        </is>
      </c>
      <c r="I516" s="22" t="n">
        <v>16</v>
      </c>
      <c r="J516" s="21" t="inlineStr">
        <is>
          <t>STD</t>
        </is>
      </c>
      <c r="K516" s="20" t="inlineStr">
        <is>
          <t>I65585719</t>
        </is>
      </c>
      <c r="L516" s="22" t="n">
        <v>32.6</v>
      </c>
      <c r="M516" s="20">
        <f>IFERROR(LEFT(B516,SEARCH("_Rev",B516)-1),B516)</f>
        <v/>
      </c>
      <c r="N516" s="20">
        <f>IF(B516="","",IF(ISNUMBER(C516),IF(COUNTIFS($M$3:$M$1026,M516,$C$3:$C$1026,"&gt;"&amp;C516)=0,"CURRENT","SUPERSEDED"),"CURRENT"))</f>
        <v/>
      </c>
      <c r="O516" s="19" t="n"/>
    </row>
    <row r="517">
      <c r="A517" s="19" t="n"/>
      <c r="B517" s="20" t="inlineStr">
        <is>
          <t>4503-XH-DL-8904-8950-5022-LN-04_Rev0</t>
        </is>
      </c>
      <c r="C517" s="21" t="n">
        <v>0</v>
      </c>
      <c r="D517" s="21" t="n">
        <v>46231</v>
      </c>
      <c r="E517" s="20" t="inlineStr">
        <is>
          <t>IFC - ISSUED FOR CONSTRUCTION</t>
        </is>
      </c>
      <c r="F517" s="21" t="n">
        <v>8904</v>
      </c>
      <c r="G517" s="20" t="inlineStr">
        <is>
          <t>PIPE B36.10/36.19 A333 6-SMLS BE BE</t>
        </is>
      </c>
      <c r="H517" s="20" t="inlineStr">
        <is>
          <t>A333</t>
        </is>
      </c>
      <c r="I517" s="22" t="n">
        <v>16</v>
      </c>
      <c r="J517" s="21" t="inlineStr">
        <is>
          <t>STD</t>
        </is>
      </c>
      <c r="K517" s="20" t="inlineStr">
        <is>
          <t>I65585719</t>
        </is>
      </c>
      <c r="L517" s="22" t="n">
        <v>15.9</v>
      </c>
      <c r="M517" s="20">
        <f>IFERROR(LEFT(B517,SEARCH("_Rev",B517)-1),B517)</f>
        <v/>
      </c>
      <c r="N517" s="20">
        <f>IF(B517="","",IF(ISNUMBER(C517),IF(COUNTIFS($M$3:$M$1026,M517,$C$3:$C$1026,"&gt;"&amp;C517)=0,"CURRENT","SUPERSEDED"),"CURRENT"))</f>
        <v/>
      </c>
      <c r="O517" s="19" t="n"/>
    </row>
    <row r="518">
      <c r="A518" s="19" t="n"/>
      <c r="B518" s="20" t="inlineStr">
        <is>
          <t>4503-XH-DL-8904-8950-5022-LN-04_Rev0</t>
        </is>
      </c>
      <c r="C518" s="21" t="n">
        <v>0</v>
      </c>
      <c r="D518" s="21" t="n">
        <v>46231</v>
      </c>
      <c r="E518" s="20" t="inlineStr">
        <is>
          <t>IFC - ISSUED FOR CONSTRUCTION</t>
        </is>
      </c>
      <c r="F518" s="21" t="n">
        <v>8904</v>
      </c>
      <c r="G518" s="20" t="inlineStr">
        <is>
          <t>PIPE B36.10/36.19 A333 6-SMLS BE BE</t>
        </is>
      </c>
      <c r="H518" s="20" t="inlineStr">
        <is>
          <t>A333</t>
        </is>
      </c>
      <c r="I518" s="22" t="n">
        <v>14</v>
      </c>
      <c r="J518" s="21" t="inlineStr">
        <is>
          <t>STD</t>
        </is>
      </c>
      <c r="K518" s="20" t="inlineStr">
        <is>
          <t>I63649172</t>
        </is>
      </c>
      <c r="L518" s="22" t="n">
        <v>5</v>
      </c>
      <c r="M518" s="20">
        <f>IFERROR(LEFT(B518,SEARCH("_Rev",B518)-1),B518)</f>
        <v/>
      </c>
      <c r="N518" s="20">
        <f>IF(B518="","",IF(ISNUMBER(C518),IF(COUNTIFS($M$3:$M$1026,M518,$C$3:$C$1026,"&gt;"&amp;C518)=0,"CURRENT","SUPERSEDED"),"CURRENT"))</f>
        <v/>
      </c>
      <c r="O518" s="19" t="n"/>
    </row>
    <row r="519">
      <c r="A519" s="19" t="n"/>
      <c r="B519" s="20" t="inlineStr">
        <is>
          <t>4503-XH-DL-8904-8950-5022-LN-05_Rev0</t>
        </is>
      </c>
      <c r="C519" s="21" t="n">
        <v>0</v>
      </c>
      <c r="D519" s="21" t="n">
        <v>46227</v>
      </c>
      <c r="E519" s="20" t="inlineStr">
        <is>
          <t>IFC - ISSUED FOR CONSTRUCTION</t>
        </is>
      </c>
      <c r="F519" s="21" t="n">
        <v>8904</v>
      </c>
      <c r="G519" s="20" t="inlineStr">
        <is>
          <t>PIPE B36.10/36.19 A333 6-SMLS BE BE</t>
        </is>
      </c>
      <c r="H519" s="20" t="inlineStr">
        <is>
          <t>A333</t>
        </is>
      </c>
      <c r="I519" s="22" t="n">
        <v>14</v>
      </c>
      <c r="J519" s="21" t="inlineStr">
        <is>
          <t>STD</t>
        </is>
      </c>
      <c r="K519" s="20" t="inlineStr">
        <is>
          <t>I63649172</t>
        </is>
      </c>
      <c r="L519" s="22" t="n">
        <v>54</v>
      </c>
      <c r="M519" s="20">
        <f>IFERROR(LEFT(B519,SEARCH("_Rev",B519)-1),B519)</f>
        <v/>
      </c>
      <c r="N519" s="20">
        <f>IF(B519="","",IF(ISNUMBER(C519),IF(COUNTIFS($M$3:$M$1026,M519,$C$3:$C$1026,"&gt;"&amp;C519)=0,"CURRENT","SUPERSEDED"),"CURRENT"))</f>
        <v/>
      </c>
      <c r="O519" s="19" t="n"/>
    </row>
    <row r="520">
      <c r="A520" s="19" t="n"/>
      <c r="B520" s="20" t="inlineStr">
        <is>
          <t>4503-XH-DL-8905-8940-5007-GWR1-01_Rev0</t>
        </is>
      </c>
      <c r="C520" s="21" t="n">
        <v>0</v>
      </c>
      <c r="D520" s="21" t="n">
        <v>46230</v>
      </c>
      <c r="E520" s="20" t="inlineStr">
        <is>
          <t>IFC - ISSUED FOR CONSTRUCTION</t>
        </is>
      </c>
      <c r="F520" s="21" t="n">
        <v>8905</v>
      </c>
      <c r="G520" s="20" t="inlineStr">
        <is>
          <t>PIPE B36.10/36.19 A333 6-SMLS BE BE</t>
        </is>
      </c>
      <c r="H520" s="20" t="inlineStr">
        <is>
          <t>A333</t>
        </is>
      </c>
      <c r="I520" s="22" t="n">
        <v>8</v>
      </c>
      <c r="J520" s="21" t="inlineStr">
        <is>
          <t>STD</t>
        </is>
      </c>
      <c r="K520" s="20" t="inlineStr">
        <is>
          <t>I64108766</t>
        </is>
      </c>
      <c r="L520" s="22" t="n">
        <v>76.7</v>
      </c>
      <c r="M520" s="20">
        <f>IFERROR(LEFT(B520,SEARCH("_Rev",B520)-1),B520)</f>
        <v/>
      </c>
      <c r="N520" s="20">
        <f>IF(B520="","",IF(ISNUMBER(C520),IF(COUNTIFS($M$3:$M$1026,M520,$C$3:$C$1026,"&gt;"&amp;C520)=0,"CURRENT","SUPERSEDED"),"CURRENT"))</f>
        <v/>
      </c>
      <c r="O520" s="19" t="n"/>
    </row>
    <row r="521">
      <c r="A521" s="19" t="n"/>
      <c r="B521" s="20" t="inlineStr">
        <is>
          <t>4503-XH-DL-8905-8940-5007-GWR1-02_Rev0</t>
        </is>
      </c>
      <c r="C521" s="21" t="n">
        <v>0</v>
      </c>
      <c r="D521" s="21" t="n">
        <v>46230</v>
      </c>
      <c r="E521" s="20" t="inlineStr">
        <is>
          <t>IFC - ISSUED FOR CONSTRUCTION</t>
        </is>
      </c>
      <c r="F521" s="21" t="n">
        <v>8905</v>
      </c>
      <c r="G521" s="20" t="inlineStr">
        <is>
          <t>PIPE B36.10/36.19 A333 6-SMLS BE BE</t>
        </is>
      </c>
      <c r="H521" s="20" t="inlineStr">
        <is>
          <t>A333</t>
        </is>
      </c>
      <c r="I521" s="22" t="n">
        <v>8</v>
      </c>
      <c r="J521" s="21" t="inlineStr">
        <is>
          <t>STD</t>
        </is>
      </c>
      <c r="K521" s="20" t="inlineStr">
        <is>
          <t>I64108766</t>
        </is>
      </c>
      <c r="L521" s="22" t="n">
        <v>6.7</v>
      </c>
      <c r="M521" s="20">
        <f>IFERROR(LEFT(B521,SEARCH("_Rev",B521)-1),B521)</f>
        <v/>
      </c>
      <c r="N521" s="20">
        <f>IF(B521="","",IF(ISNUMBER(C521),IF(COUNTIFS($M$3:$M$1026,M521,$C$3:$C$1026,"&gt;"&amp;C521)=0,"CURRENT","SUPERSEDED"),"CURRENT"))</f>
        <v/>
      </c>
      <c r="O521" s="19" t="n"/>
    </row>
    <row r="522">
      <c r="A522" s="19" t="n"/>
      <c r="B522" s="20" t="inlineStr">
        <is>
          <t>4503-XH-DL-8905-8940-5007-GWR1-03_Rev0</t>
        </is>
      </c>
      <c r="C522" s="21" t="n">
        <v>0</v>
      </c>
      <c r="D522" s="21" t="n">
        <v>46230</v>
      </c>
      <c r="E522" s="20" t="inlineStr">
        <is>
          <t>IFC - ISSUED FOR CONSTRUCTION</t>
        </is>
      </c>
      <c r="F522" s="21" t="n">
        <v>8905</v>
      </c>
      <c r="G522" s="20" t="inlineStr">
        <is>
          <t>PIPE B36.10/36.19 A333 6-SMLS BE BE</t>
        </is>
      </c>
      <c r="H522" s="20" t="inlineStr">
        <is>
          <t>A333</t>
        </is>
      </c>
      <c r="I522" s="22" t="n">
        <v>8</v>
      </c>
      <c r="J522" s="21" t="inlineStr">
        <is>
          <t>STD</t>
        </is>
      </c>
      <c r="K522" s="20" t="inlineStr">
        <is>
          <t>I64108766</t>
        </is>
      </c>
      <c r="L522" s="22" t="n">
        <v>25.1</v>
      </c>
      <c r="M522" s="20">
        <f>IFERROR(LEFT(B522,SEARCH("_Rev",B522)-1),B522)</f>
        <v/>
      </c>
      <c r="N522" s="20">
        <f>IF(B522="","",IF(ISNUMBER(C522),IF(COUNTIFS($M$3:$M$1026,M522,$C$3:$C$1026,"&gt;"&amp;C522)=0,"CURRENT","SUPERSEDED"),"CURRENT"))</f>
        <v/>
      </c>
      <c r="O522" s="19" t="n"/>
    </row>
    <row r="523">
      <c r="A523" s="19" t="n"/>
      <c r="B523" s="20" t="inlineStr">
        <is>
          <t>4503-XH-DL-8905-8940-5007-GWR1-04_Rev0</t>
        </is>
      </c>
      <c r="C523" s="21" t="n">
        <v>0</v>
      </c>
      <c r="D523" s="21" t="n">
        <v>46230</v>
      </c>
      <c r="E523" s="20" t="inlineStr">
        <is>
          <t>IFC - ISSUED FOR CONSTRUCTION</t>
        </is>
      </c>
      <c r="F523" s="21" t="n">
        <v>8905</v>
      </c>
      <c r="G523" s="20" t="inlineStr">
        <is>
          <t>PIPE B36.10/36.19 A333 6-SMLS BE BE</t>
        </is>
      </c>
      <c r="H523" s="20" t="inlineStr">
        <is>
          <t>A333</t>
        </is>
      </c>
      <c r="I523" s="22" t="n">
        <v>8</v>
      </c>
      <c r="J523" s="21" t="inlineStr">
        <is>
          <t>STD</t>
        </is>
      </c>
      <c r="K523" s="20" t="inlineStr">
        <is>
          <t>I64108766</t>
        </is>
      </c>
      <c r="L523" s="22" t="n">
        <v>36.7</v>
      </c>
      <c r="M523" s="20">
        <f>IFERROR(LEFT(B523,SEARCH("_Rev",B523)-1),B523)</f>
        <v/>
      </c>
      <c r="N523" s="20">
        <f>IF(B523="","",IF(ISNUMBER(C523),IF(COUNTIFS($M$3:$M$1026,M523,$C$3:$C$1026,"&gt;"&amp;C523)=0,"CURRENT","SUPERSEDED"),"CURRENT"))</f>
        <v/>
      </c>
      <c r="O523" s="19" t="n"/>
    </row>
    <row r="524">
      <c r="A524" s="19" t="n"/>
      <c r="B524" s="20" t="inlineStr">
        <is>
          <t>4503-XH-DL-8905-8940-5007-GWR1-05_Rev0</t>
        </is>
      </c>
      <c r="C524" s="21" t="n">
        <v>0</v>
      </c>
      <c r="D524" s="21" t="n">
        <v>46230</v>
      </c>
      <c r="E524" s="20" t="inlineStr">
        <is>
          <t>IFC - ISSUED FOR CONSTRUCTION</t>
        </is>
      </c>
      <c r="F524" s="21" t="n">
        <v>8905</v>
      </c>
      <c r="G524" s="20" t="inlineStr">
        <is>
          <t>PIPE B36.10/36.19 A333 6-SMLS BE BE</t>
        </is>
      </c>
      <c r="H524" s="20" t="inlineStr">
        <is>
          <t>A333</t>
        </is>
      </c>
      <c r="I524" s="22" t="n">
        <v>8</v>
      </c>
      <c r="J524" s="21" t="inlineStr">
        <is>
          <t>STD</t>
        </is>
      </c>
      <c r="K524" s="20" t="inlineStr">
        <is>
          <t>I64108766</t>
        </is>
      </c>
      <c r="L524" s="22" t="n">
        <v>48</v>
      </c>
      <c r="M524" s="20">
        <f>IFERROR(LEFT(B524,SEARCH("_Rev",B524)-1),B524)</f>
        <v/>
      </c>
      <c r="N524" s="20">
        <f>IF(B524="","",IF(ISNUMBER(C524),IF(COUNTIFS($M$3:$M$1026,M524,$C$3:$C$1026,"&gt;"&amp;C524)=0,"CURRENT","SUPERSEDED"),"CURRENT"))</f>
        <v/>
      </c>
      <c r="O524" s="19" t="n"/>
    </row>
    <row r="525">
      <c r="A525" s="19" t="n"/>
      <c r="B525" s="20" t="inlineStr">
        <is>
          <t>4503-XH-DL-8905-8940-5007-GWR1-07_Rev0</t>
        </is>
      </c>
      <c r="C525" s="21" t="n">
        <v>0</v>
      </c>
      <c r="D525" s="21" t="n">
        <v>46232</v>
      </c>
      <c r="E525" s="20" t="inlineStr">
        <is>
          <t>IFI - ISSUED FOR INFORMATION</t>
        </is>
      </c>
      <c r="F525" s="21" t="n">
        <v>8905</v>
      </c>
      <c r="G525" s="20" t="inlineStr">
        <is>
          <t>PIPE B36.10/36.19 A333 6-SMLS PE PE</t>
        </is>
      </c>
      <c r="H525" s="20" t="inlineStr">
        <is>
          <t>A333</t>
        </is>
      </c>
      <c r="I525" s="22" t="n">
        <v>1</v>
      </c>
      <c r="J525" s="21" t="inlineStr">
        <is>
          <t>160</t>
        </is>
      </c>
      <c r="K525" s="20" t="inlineStr">
        <is>
          <t>I64108817</t>
        </is>
      </c>
      <c r="L525" s="22" t="n">
        <v>0.1</v>
      </c>
      <c r="M525" s="20">
        <f>IFERROR(LEFT(B525,SEARCH("_Rev",B525)-1),B525)</f>
        <v/>
      </c>
      <c r="N525" s="20">
        <f>IF(B525="","",IF(ISNUMBER(C525),IF(COUNTIFS($M$3:$M$1026,M525,$C$3:$C$1026,"&gt;"&amp;C525)=0,"CURRENT","SUPERSEDED"),"CURRENT"))</f>
        <v/>
      </c>
      <c r="O525" s="19" t="n"/>
    </row>
    <row r="526">
      <c r="A526" s="19" t="n"/>
      <c r="B526" s="20" t="inlineStr">
        <is>
          <t>4503-XH-DL-8905-8940-5009-GWS1-01_Rev0</t>
        </is>
      </c>
      <c r="C526" s="21" t="n">
        <v>0</v>
      </c>
      <c r="D526" s="21" t="n">
        <v>46230</v>
      </c>
      <c r="E526" s="20" t="inlineStr">
        <is>
          <t>IFC - ISSUED FOR CONSTRUCTION</t>
        </is>
      </c>
      <c r="F526" s="21" t="n">
        <v>8905</v>
      </c>
      <c r="G526" s="20" t="inlineStr">
        <is>
          <t>PIPE B36.10/36.19 A333 6-SMLS BE BE</t>
        </is>
      </c>
      <c r="H526" s="20" t="inlineStr">
        <is>
          <t>A333</t>
        </is>
      </c>
      <c r="I526" s="22" t="n">
        <v>8</v>
      </c>
      <c r="J526" s="21" t="inlineStr">
        <is>
          <t>STD</t>
        </is>
      </c>
      <c r="K526" s="20" t="inlineStr">
        <is>
          <t>I64108766</t>
        </is>
      </c>
      <c r="L526" s="22" t="n">
        <v>48</v>
      </c>
      <c r="M526" s="20">
        <f>IFERROR(LEFT(B526,SEARCH("_Rev",B526)-1),B526)</f>
        <v/>
      </c>
      <c r="N526" s="20">
        <f>IF(B526="","",IF(ISNUMBER(C526),IF(COUNTIFS($M$3:$M$1026,M526,$C$3:$C$1026,"&gt;"&amp;C526)=0,"CURRENT","SUPERSEDED"),"CURRENT"))</f>
        <v/>
      </c>
      <c r="O526" s="19" t="n"/>
    </row>
    <row r="527">
      <c r="A527" s="19" t="n"/>
      <c r="B527" s="20" t="inlineStr">
        <is>
          <t>4503-XH-DL-8905-8940-5009-GWS1-02_Rev0</t>
        </is>
      </c>
      <c r="C527" s="21" t="n">
        <v>0</v>
      </c>
      <c r="D527" s="21" t="n">
        <v>46230</v>
      </c>
      <c r="E527" s="20" t="inlineStr">
        <is>
          <t>IFC - ISSUED FOR CONSTRUCTION</t>
        </is>
      </c>
      <c r="F527" s="21" t="n">
        <v>8905</v>
      </c>
      <c r="G527" s="20" t="inlineStr">
        <is>
          <t>PIPE B36.10/36.19 A333 6-SMLS BE BE</t>
        </is>
      </c>
      <c r="H527" s="20" t="inlineStr">
        <is>
          <t>A333</t>
        </is>
      </c>
      <c r="I527" s="22" t="n">
        <v>8</v>
      </c>
      <c r="J527" s="21" t="inlineStr">
        <is>
          <t>STD</t>
        </is>
      </c>
      <c r="K527" s="20" t="inlineStr">
        <is>
          <t>I64108766</t>
        </is>
      </c>
      <c r="L527" s="22" t="n">
        <v>36.1</v>
      </c>
      <c r="M527" s="20">
        <f>IFERROR(LEFT(B527,SEARCH("_Rev",B527)-1),B527)</f>
        <v/>
      </c>
      <c r="N527" s="20">
        <f>IF(B527="","",IF(ISNUMBER(C527),IF(COUNTIFS($M$3:$M$1026,M527,$C$3:$C$1026,"&gt;"&amp;C527)=0,"CURRENT","SUPERSEDED"),"CURRENT"))</f>
        <v/>
      </c>
      <c r="O527" s="19" t="n"/>
    </row>
    <row r="528">
      <c r="A528" s="19" t="n"/>
      <c r="B528" s="20" t="inlineStr">
        <is>
          <t>4503-XH-DL-8905-8940-5009-GWS1-03_Rev0</t>
        </is>
      </c>
      <c r="C528" s="21" t="n">
        <v>0</v>
      </c>
      <c r="D528" s="21" t="n">
        <v>46230</v>
      </c>
      <c r="E528" s="20" t="inlineStr">
        <is>
          <t>IFC - ISSUED FOR CONSTRUCTION</t>
        </is>
      </c>
      <c r="F528" s="21" t="n">
        <v>8905</v>
      </c>
      <c r="G528" s="20" t="inlineStr">
        <is>
          <t>PIPE B36.10/36.19 A333 6-SMLS BE BE</t>
        </is>
      </c>
      <c r="H528" s="20" t="inlineStr">
        <is>
          <t>A333</t>
        </is>
      </c>
      <c r="I528" s="22" t="n">
        <v>8</v>
      </c>
      <c r="J528" s="21" t="inlineStr">
        <is>
          <t>STD</t>
        </is>
      </c>
      <c r="K528" s="20" t="inlineStr">
        <is>
          <t>I64108766</t>
        </is>
      </c>
      <c r="L528" s="22" t="n">
        <v>76.7</v>
      </c>
      <c r="M528" s="20">
        <f>IFERROR(LEFT(B528,SEARCH("_Rev",B528)-1),B528)</f>
        <v/>
      </c>
      <c r="N528" s="20">
        <f>IF(B528="","",IF(ISNUMBER(C528),IF(COUNTIFS($M$3:$M$1026,M528,$C$3:$C$1026,"&gt;"&amp;C528)=0,"CURRENT","SUPERSEDED"),"CURRENT"))</f>
        <v/>
      </c>
      <c r="O528" s="19" t="n"/>
    </row>
    <row r="529">
      <c r="A529" s="19" t="n"/>
      <c r="B529" s="20" t="inlineStr">
        <is>
          <t>4503-XH-DL-8905-8940-5009-GWS1-04_Rev0</t>
        </is>
      </c>
      <c r="C529" s="21" t="n">
        <v>0</v>
      </c>
      <c r="D529" s="21" t="n">
        <v>46230</v>
      </c>
      <c r="E529" s="20" t="inlineStr">
        <is>
          <t>IFC - ISSUED FOR CONSTRUCTION</t>
        </is>
      </c>
      <c r="F529" s="21" t="n">
        <v>8905</v>
      </c>
      <c r="G529" s="20" t="inlineStr">
        <is>
          <t>PIPE B36.10/36.19 A333 6-SMLS BE BE</t>
        </is>
      </c>
      <c r="H529" s="20" t="inlineStr">
        <is>
          <t>A333</t>
        </is>
      </c>
      <c r="I529" s="22" t="n">
        <v>8</v>
      </c>
      <c r="J529" s="21" t="inlineStr">
        <is>
          <t>STD</t>
        </is>
      </c>
      <c r="K529" s="20" t="inlineStr">
        <is>
          <t>I64108766</t>
        </is>
      </c>
      <c r="L529" s="22" t="n">
        <v>26.4</v>
      </c>
      <c r="M529" s="20">
        <f>IFERROR(LEFT(B529,SEARCH("_Rev",B529)-1),B529)</f>
        <v/>
      </c>
      <c r="N529" s="20">
        <f>IF(B529="","",IF(ISNUMBER(C529),IF(COUNTIFS($M$3:$M$1026,M529,$C$3:$C$1026,"&gt;"&amp;C529)=0,"CURRENT","SUPERSEDED"),"CURRENT"))</f>
        <v/>
      </c>
      <c r="O529" s="19" t="n"/>
    </row>
    <row r="530">
      <c r="A530" s="19" t="n"/>
      <c r="B530" s="20" t="inlineStr">
        <is>
          <t>4503-XH-DL-8905-8940-5009-GWS1-05_Rev0</t>
        </is>
      </c>
      <c r="C530" s="21" t="n">
        <v>0</v>
      </c>
      <c r="D530" s="21" t="n">
        <v>46230</v>
      </c>
      <c r="E530" s="20" t="inlineStr">
        <is>
          <t>IFC - ISSUED FOR CONSTRUCTION</t>
        </is>
      </c>
      <c r="F530" s="21" t="n">
        <v>8905</v>
      </c>
      <c r="G530" s="20" t="inlineStr">
        <is>
          <t>PIPE B36.10/36.19 A333 6-SMLS BE BE</t>
        </is>
      </c>
      <c r="H530" s="20" t="inlineStr">
        <is>
          <t>A333</t>
        </is>
      </c>
      <c r="I530" s="22" t="n">
        <v>8</v>
      </c>
      <c r="J530" s="21" t="inlineStr">
        <is>
          <t>STD</t>
        </is>
      </c>
      <c r="K530" s="20" t="inlineStr">
        <is>
          <t>I64108766</t>
        </is>
      </c>
      <c r="L530" s="22" t="n">
        <v>6.1</v>
      </c>
      <c r="M530" s="20">
        <f>IFERROR(LEFT(B530,SEARCH("_Rev",B530)-1),B530)</f>
        <v/>
      </c>
      <c r="N530" s="20">
        <f>IF(B530="","",IF(ISNUMBER(C530),IF(COUNTIFS($M$3:$M$1026,M530,$C$3:$C$1026,"&gt;"&amp;C530)=0,"CURRENT","SUPERSEDED"),"CURRENT"))</f>
        <v/>
      </c>
      <c r="O530" s="19" t="n"/>
    </row>
    <row r="531">
      <c r="A531" s="19" t="n"/>
      <c r="B531" s="20" t="inlineStr">
        <is>
          <t>4503-XH-DL-8905-8940-5009-GWS1-07_Rev0</t>
        </is>
      </c>
      <c r="C531" s="21" t="n">
        <v>0</v>
      </c>
      <c r="D531" s="21" t="n">
        <v>46230</v>
      </c>
      <c r="E531" s="20" t="inlineStr">
        <is>
          <t>IFI - ISSUED FOR INFORMATION</t>
        </is>
      </c>
      <c r="F531" s="21" t="n">
        <v>8905</v>
      </c>
      <c r="G531" s="20" t="inlineStr">
        <is>
          <t>PIPE B36.10/36.19 A333 6-SMLS PE PE</t>
        </is>
      </c>
      <c r="H531" s="20" t="inlineStr">
        <is>
          <t>A333</t>
        </is>
      </c>
      <c r="I531" s="22" t="n">
        <v>1</v>
      </c>
      <c r="J531" s="21" t="inlineStr">
        <is>
          <t>160</t>
        </is>
      </c>
      <c r="K531" s="20" t="inlineStr">
        <is>
          <t>I64108817</t>
        </is>
      </c>
      <c r="L531" s="22" t="n">
        <v>0.1</v>
      </c>
      <c r="M531" s="20">
        <f>IFERROR(LEFT(B531,SEARCH("_Rev",B531)-1),B531)</f>
        <v/>
      </c>
      <c r="N531" s="20">
        <f>IF(B531="","",IF(ISNUMBER(C531),IF(COUNTIFS($M$3:$M$1026,M531,$C$3:$C$1026,"&gt;"&amp;C531)=0,"CURRENT","SUPERSEDED"),"CURRENT"))</f>
        <v/>
      </c>
      <c r="O531" s="19" t="n"/>
    </row>
    <row r="532">
      <c r="A532" s="19" t="n"/>
      <c r="B532" s="20" t="inlineStr">
        <is>
          <t>4503-XH-DL-8905-8941-5003-HWR1-01_Rev0</t>
        </is>
      </c>
      <c r="C532" s="21" t="n">
        <v>0</v>
      </c>
      <c r="D532" s="21" t="n">
        <v>46231</v>
      </c>
      <c r="E532" s="20" t="inlineStr">
        <is>
          <t>IFC - ISSUED FOR CONSTRUCTION</t>
        </is>
      </c>
      <c r="F532" s="21" t="n">
        <v>8905</v>
      </c>
      <c r="G532" s="20" t="inlineStr">
        <is>
          <t>PIPE B36.10/36.19 A333 6-SMLS BE BE</t>
        </is>
      </c>
      <c r="H532" s="20" t="inlineStr">
        <is>
          <t>A333</t>
        </is>
      </c>
      <c r="I532" s="22" t="n">
        <v>12</v>
      </c>
      <c r="J532" s="21" t="inlineStr">
        <is>
          <t>STD</t>
        </is>
      </c>
      <c r="K532" s="20" t="inlineStr">
        <is>
          <t>I64955933</t>
        </is>
      </c>
      <c r="L532" s="22" t="n">
        <v>48</v>
      </c>
      <c r="M532" s="20">
        <f>IFERROR(LEFT(B532,SEARCH("_Rev",B532)-1),B532)</f>
        <v/>
      </c>
      <c r="N532" s="20">
        <f>IF(B532="","",IF(ISNUMBER(C532),IF(COUNTIFS($M$3:$M$1026,M532,$C$3:$C$1026,"&gt;"&amp;C532)=0,"CURRENT","SUPERSEDED"),"CURRENT"))</f>
        <v/>
      </c>
      <c r="O532" s="19" t="n"/>
    </row>
    <row r="533">
      <c r="A533" s="19" t="n"/>
      <c r="B533" s="20" t="inlineStr">
        <is>
          <t>4503-XH-DL-8905-8941-5003-HWR1-02_Rev0</t>
        </is>
      </c>
      <c r="C533" s="21" t="n">
        <v>0</v>
      </c>
      <c r="D533" s="21" t="n">
        <v>46232</v>
      </c>
      <c r="E533" s="20" t="inlineStr">
        <is>
          <t>IFC - ISSUED FOR CONSTRUCTION</t>
        </is>
      </c>
      <c r="F533" s="21" t="n">
        <v>8905</v>
      </c>
      <c r="G533" s="20" t="inlineStr">
        <is>
          <t>PIPE B36.10/36.19 A333 6-SMLS BE BE</t>
        </is>
      </c>
      <c r="H533" s="20" t="inlineStr">
        <is>
          <t>A333</t>
        </is>
      </c>
      <c r="I533" s="22" t="n">
        <v>12</v>
      </c>
      <c r="J533" s="21" t="inlineStr">
        <is>
          <t>STD</t>
        </is>
      </c>
      <c r="K533" s="20" t="inlineStr">
        <is>
          <t>I64955933</t>
        </is>
      </c>
      <c r="L533" s="22" t="n">
        <v>34.1</v>
      </c>
      <c r="M533" s="20">
        <f>IFERROR(LEFT(B533,SEARCH("_Rev",B533)-1),B533)</f>
        <v/>
      </c>
      <c r="N533" s="20">
        <f>IF(B533="","",IF(ISNUMBER(C533),IF(COUNTIFS($M$3:$M$1026,M533,$C$3:$C$1026,"&gt;"&amp;C533)=0,"CURRENT","SUPERSEDED"),"CURRENT"))</f>
        <v/>
      </c>
      <c r="O533" s="19" t="n"/>
    </row>
    <row r="534">
      <c r="A534" s="19" t="n"/>
      <c r="B534" s="20" t="inlineStr">
        <is>
          <t>4503-XH-DL-8905-8941-5003-HWR1-03_Rev0</t>
        </is>
      </c>
      <c r="C534" s="21" t="n">
        <v>0</v>
      </c>
      <c r="D534" s="21" t="n">
        <v>46227</v>
      </c>
      <c r="E534" s="20" t="inlineStr">
        <is>
          <t>IFC - ISSUED FOR CONSTRUCTION</t>
        </is>
      </c>
      <c r="F534" s="21" t="n">
        <v>8905</v>
      </c>
      <c r="G534" s="20" t="inlineStr">
        <is>
          <t>PIPE B36.10/36.19 A333 6-SMLS BE BE</t>
        </is>
      </c>
      <c r="H534" s="20" t="inlineStr">
        <is>
          <t>A333</t>
        </is>
      </c>
      <c r="I534" s="22" t="n">
        <v>12</v>
      </c>
      <c r="J534" s="21" t="inlineStr">
        <is>
          <t>STD</t>
        </is>
      </c>
      <c r="K534" s="20" t="inlineStr">
        <is>
          <t>I64955933</t>
        </is>
      </c>
      <c r="L534" s="22" t="n">
        <v>76.7</v>
      </c>
      <c r="M534" s="20">
        <f>IFERROR(LEFT(B534,SEARCH("_Rev",B534)-1),B534)</f>
        <v/>
      </c>
      <c r="N534" s="20">
        <f>IF(B534="","",IF(ISNUMBER(C534),IF(COUNTIFS($M$3:$M$1026,M534,$C$3:$C$1026,"&gt;"&amp;C534)=0,"CURRENT","SUPERSEDED"),"CURRENT"))</f>
        <v/>
      </c>
      <c r="O534" s="19" t="n"/>
    </row>
    <row r="535">
      <c r="A535" s="19" t="n"/>
      <c r="B535" s="20" t="inlineStr">
        <is>
          <t>4503-XH-DL-8905-8941-5003-HWR1-04_Rev0</t>
        </is>
      </c>
      <c r="C535" s="21" t="n">
        <v>0</v>
      </c>
      <c r="D535" s="21" t="n">
        <v>46227</v>
      </c>
      <c r="E535" s="20" t="inlineStr">
        <is>
          <t>IFC - ISSUED FOR CONSTRUCTION</t>
        </is>
      </c>
      <c r="F535" s="21" t="n">
        <v>8905</v>
      </c>
      <c r="G535" s="20" t="inlineStr">
        <is>
          <t>PIPE B36.10/36.19 A333 6-SMLS BE BE</t>
        </is>
      </c>
      <c r="H535" s="20" t="inlineStr">
        <is>
          <t>A333</t>
        </is>
      </c>
      <c r="I535" s="22" t="n">
        <v>12</v>
      </c>
      <c r="J535" s="21" t="inlineStr">
        <is>
          <t>STD</t>
        </is>
      </c>
      <c r="K535" s="20" t="inlineStr">
        <is>
          <t>I64955933</t>
        </is>
      </c>
      <c r="L535" s="22" t="n">
        <v>28.6</v>
      </c>
      <c r="M535" s="20">
        <f>IFERROR(LEFT(B535,SEARCH("_Rev",B535)-1),B535)</f>
        <v/>
      </c>
      <c r="N535" s="20">
        <f>IF(B535="","",IF(ISNUMBER(C535),IF(COUNTIFS($M$3:$M$1026,M535,$C$3:$C$1026,"&gt;"&amp;C535)=0,"CURRENT","SUPERSEDED"),"CURRENT"))</f>
        <v/>
      </c>
      <c r="O535" s="19" t="n"/>
    </row>
    <row r="536">
      <c r="A536" s="19" t="n"/>
      <c r="B536" s="20" t="inlineStr">
        <is>
          <t>4503-XH-DL-8905-8941-5003-HWR1-05_Rev0</t>
        </is>
      </c>
      <c r="C536" s="21" t="n">
        <v>0</v>
      </c>
      <c r="D536" s="21" t="n">
        <v>46227</v>
      </c>
      <c r="E536" s="20" t="inlineStr">
        <is>
          <t>IFC - ISSUED FOR CONSTRUCTION</t>
        </is>
      </c>
      <c r="F536" s="21" t="n">
        <v>8905</v>
      </c>
      <c r="G536" s="20" t="inlineStr">
        <is>
          <t>PIPE B36.10/36.19 A333 6-SMLS BE BE</t>
        </is>
      </c>
      <c r="H536" s="20" t="inlineStr">
        <is>
          <t>A333</t>
        </is>
      </c>
      <c r="I536" s="22" t="n">
        <v>12</v>
      </c>
      <c r="J536" s="21" t="inlineStr">
        <is>
          <t>STD</t>
        </is>
      </c>
      <c r="K536" s="20" t="inlineStr">
        <is>
          <t>I64955933</t>
        </is>
      </c>
      <c r="L536" s="22" t="n">
        <v>4.1</v>
      </c>
      <c r="M536" s="20">
        <f>IFERROR(LEFT(B536,SEARCH("_Rev",B536)-1),B536)</f>
        <v/>
      </c>
      <c r="N536" s="20">
        <f>IF(B536="","",IF(ISNUMBER(C536),IF(COUNTIFS($M$3:$M$1026,M536,$C$3:$C$1026,"&gt;"&amp;C536)=0,"CURRENT","SUPERSEDED"),"CURRENT"))</f>
        <v/>
      </c>
      <c r="O536" s="19" t="n"/>
    </row>
    <row r="537">
      <c r="A537" s="19" t="n"/>
      <c r="B537" s="20" t="inlineStr">
        <is>
          <t>4503-XH-DL-8905-8941-5003-HWR1-06_Rev0</t>
        </is>
      </c>
      <c r="C537" s="21" t="n">
        <v>0</v>
      </c>
      <c r="D537" s="21" t="n">
        <v>46227</v>
      </c>
      <c r="E537" s="20" t="inlineStr">
        <is>
          <t>IFI - ISSUED FOR INFORMATION</t>
        </is>
      </c>
      <c r="F537" s="21" t="n">
        <v>8905</v>
      </c>
      <c r="G537" s="20" t="inlineStr">
        <is>
          <t>PIPE B36.10/36.19 A333 6-SMLS PE PE</t>
        </is>
      </c>
      <c r="H537" s="20" t="inlineStr">
        <is>
          <t>A333</t>
        </is>
      </c>
      <c r="I537" s="22" t="n">
        <v>1</v>
      </c>
      <c r="J537" s="21" t="inlineStr">
        <is>
          <t>XS</t>
        </is>
      </c>
      <c r="K537" s="20" t="inlineStr">
        <is>
          <t>I63649231</t>
        </is>
      </c>
      <c r="L537" s="22" t="n">
        <v>0.2</v>
      </c>
      <c r="M537" s="20">
        <f>IFERROR(LEFT(B537,SEARCH("_Rev",B537)-1),B537)</f>
        <v/>
      </c>
      <c r="N537" s="20">
        <f>IF(B537="","",IF(ISNUMBER(C537),IF(COUNTIFS($M$3:$M$1026,M537,$C$3:$C$1026,"&gt;"&amp;C537)=0,"CURRENT","SUPERSEDED"),"CURRENT"))</f>
        <v/>
      </c>
      <c r="O537" s="19" t="n"/>
    </row>
    <row r="538">
      <c r="A538" s="19" t="n"/>
      <c r="B538" s="20" t="inlineStr">
        <is>
          <t>4503-XH-DL-8905-8941-5003-HWS1-01_Rev0</t>
        </is>
      </c>
      <c r="C538" s="21" t="n">
        <v>0</v>
      </c>
      <c r="D538" s="21" t="n">
        <v>46231</v>
      </c>
      <c r="E538" s="20" t="inlineStr">
        <is>
          <t>IFC - ISSUED FOR CONSTRUCTION</t>
        </is>
      </c>
      <c r="F538" s="21" t="n">
        <v>8905</v>
      </c>
      <c r="G538" s="20" t="inlineStr">
        <is>
          <t>PIPE B36.10/36.19 A333 6-SMLS BE BE</t>
        </is>
      </c>
      <c r="H538" s="20" t="inlineStr">
        <is>
          <t>A333</t>
        </is>
      </c>
      <c r="I538" s="22" t="n">
        <v>12</v>
      </c>
      <c r="J538" s="21" t="inlineStr">
        <is>
          <t>STD</t>
        </is>
      </c>
      <c r="K538" s="20" t="inlineStr">
        <is>
          <t>I64955933</t>
        </is>
      </c>
      <c r="L538" s="22" t="n">
        <v>48</v>
      </c>
      <c r="M538" s="20">
        <f>IFERROR(LEFT(B538,SEARCH("_Rev",B538)-1),B538)</f>
        <v/>
      </c>
      <c r="N538" s="20">
        <f>IF(B538="","",IF(ISNUMBER(C538),IF(COUNTIFS($M$3:$M$1026,M538,$C$3:$C$1026,"&gt;"&amp;C538)=0,"CURRENT","SUPERSEDED"),"CURRENT"))</f>
        <v/>
      </c>
      <c r="O538" s="19" t="n"/>
    </row>
    <row r="539">
      <c r="A539" s="19" t="n"/>
      <c r="B539" s="20" t="inlineStr">
        <is>
          <t>4503-XH-DL-8905-8941-5003-HWS1-02_Rev0</t>
        </is>
      </c>
      <c r="C539" s="21" t="n">
        <v>0</v>
      </c>
      <c r="D539" s="21" t="n">
        <v>46232</v>
      </c>
      <c r="E539" s="20" t="inlineStr">
        <is>
          <t>IFC - ISSUED FOR CONSTRUCTION</t>
        </is>
      </c>
      <c r="F539" s="21" t="n">
        <v>8905</v>
      </c>
      <c r="G539" s="20" t="inlineStr">
        <is>
          <t>PIPE B36.10/36.19 A333 6-SMLS BE BE</t>
        </is>
      </c>
      <c r="H539" s="20" t="inlineStr">
        <is>
          <t>A333</t>
        </is>
      </c>
      <c r="I539" s="22" t="n">
        <v>12</v>
      </c>
      <c r="J539" s="21" t="inlineStr">
        <is>
          <t>STD</t>
        </is>
      </c>
      <c r="K539" s="20" t="inlineStr">
        <is>
          <t>I64955933</t>
        </is>
      </c>
      <c r="L539" s="22" t="n">
        <v>34.9</v>
      </c>
      <c r="M539" s="20">
        <f>IFERROR(LEFT(B539,SEARCH("_Rev",B539)-1),B539)</f>
        <v/>
      </c>
      <c r="N539" s="20">
        <f>IF(B539="","",IF(ISNUMBER(C539),IF(COUNTIFS($M$3:$M$1026,M539,$C$3:$C$1026,"&gt;"&amp;C539)=0,"CURRENT","SUPERSEDED"),"CURRENT"))</f>
        <v/>
      </c>
      <c r="O539" s="19" t="n"/>
    </row>
    <row r="540">
      <c r="A540" s="19" t="n"/>
      <c r="B540" s="20" t="inlineStr">
        <is>
          <t>4503-XH-DL-8905-8941-5003-HWS1-03_Rev0</t>
        </is>
      </c>
      <c r="C540" s="21" t="n">
        <v>0</v>
      </c>
      <c r="D540" s="21" t="n">
        <v>46227</v>
      </c>
      <c r="E540" s="20" t="inlineStr">
        <is>
          <t>IFC - ISSUED FOR CONSTRUCTION</t>
        </is>
      </c>
      <c r="F540" s="21" t="n">
        <v>8905</v>
      </c>
      <c r="G540" s="20" t="inlineStr">
        <is>
          <t>PIPE B36.10/36.19 A333 6-SMLS BE BE</t>
        </is>
      </c>
      <c r="H540" s="20" t="inlineStr">
        <is>
          <t>A333</t>
        </is>
      </c>
      <c r="I540" s="22" t="n">
        <v>12</v>
      </c>
      <c r="J540" s="21" t="inlineStr">
        <is>
          <t>STD</t>
        </is>
      </c>
      <c r="K540" s="20" t="inlineStr">
        <is>
          <t>I64955933</t>
        </is>
      </c>
      <c r="L540" s="22" t="n">
        <v>76.7</v>
      </c>
      <c r="M540" s="20">
        <f>IFERROR(LEFT(B540,SEARCH("_Rev",B540)-1),B540)</f>
        <v/>
      </c>
      <c r="N540" s="20">
        <f>IF(B540="","",IF(ISNUMBER(C540),IF(COUNTIFS($M$3:$M$1026,M540,$C$3:$C$1026,"&gt;"&amp;C540)=0,"CURRENT","SUPERSEDED"),"CURRENT"))</f>
        <v/>
      </c>
      <c r="O540" s="19" t="n"/>
    </row>
    <row r="541">
      <c r="A541" s="19" t="n"/>
      <c r="B541" s="20" t="inlineStr">
        <is>
          <t>4503-XH-DL-8905-8941-5003-HWS1-04_Rev0</t>
        </is>
      </c>
      <c r="C541" s="21" t="n">
        <v>0</v>
      </c>
      <c r="D541" s="21" t="n">
        <v>46227</v>
      </c>
      <c r="E541" s="20" t="inlineStr">
        <is>
          <t>IFC - ISSUED FOR CONSTRUCTION</t>
        </is>
      </c>
      <c r="F541" s="21" t="n">
        <v>8905</v>
      </c>
      <c r="G541" s="20" t="inlineStr">
        <is>
          <t>PIPE B36.10/36.19 A333 6-SMLS BE BE</t>
        </is>
      </c>
      <c r="H541" s="20" t="inlineStr">
        <is>
          <t>A333</t>
        </is>
      </c>
      <c r="I541" s="22" t="n">
        <v>12</v>
      </c>
      <c r="J541" s="21" t="inlineStr">
        <is>
          <t>STD</t>
        </is>
      </c>
      <c r="K541" s="20" t="inlineStr">
        <is>
          <t>I64955933</t>
        </is>
      </c>
      <c r="L541" s="22" t="n">
        <v>27.1</v>
      </c>
      <c r="M541" s="20">
        <f>IFERROR(LEFT(B541,SEARCH("_Rev",B541)-1),B541)</f>
        <v/>
      </c>
      <c r="N541" s="20">
        <f>IF(B541="","",IF(ISNUMBER(C541),IF(COUNTIFS($M$3:$M$1026,M541,$C$3:$C$1026,"&gt;"&amp;C541)=0,"CURRENT","SUPERSEDED"),"CURRENT"))</f>
        <v/>
      </c>
      <c r="O541" s="19" t="n"/>
    </row>
    <row r="542">
      <c r="A542" s="19" t="n"/>
      <c r="B542" s="20" t="inlineStr">
        <is>
          <t>4503-XH-DL-8905-8941-5003-HWS1-05_Rev0</t>
        </is>
      </c>
      <c r="C542" s="21" t="n">
        <v>0</v>
      </c>
      <c r="D542" s="21" t="n">
        <v>46227</v>
      </c>
      <c r="E542" s="20" t="inlineStr">
        <is>
          <t>IFC - ISSUED FOR CONSTRUCTION</t>
        </is>
      </c>
      <c r="F542" s="21" t="n">
        <v>8905</v>
      </c>
      <c r="G542" s="20" t="inlineStr">
        <is>
          <t>PIPE B36.10/36.19 A333 6-SMLS BE BE</t>
        </is>
      </c>
      <c r="H542" s="20" t="inlineStr">
        <is>
          <t>A333</t>
        </is>
      </c>
      <c r="I542" s="22" t="n">
        <v>12</v>
      </c>
      <c r="J542" s="21" t="inlineStr">
        <is>
          <t>STD</t>
        </is>
      </c>
      <c r="K542" s="20" t="inlineStr">
        <is>
          <t>I64955933</t>
        </is>
      </c>
      <c r="L542" s="22" t="n">
        <v>4.9</v>
      </c>
      <c r="M542" s="20">
        <f>IFERROR(LEFT(B542,SEARCH("_Rev",B542)-1),B542)</f>
        <v/>
      </c>
      <c r="N542" s="20">
        <f>IF(B542="","",IF(ISNUMBER(C542),IF(COUNTIFS($M$3:$M$1026,M542,$C$3:$C$1026,"&gt;"&amp;C542)=0,"CURRENT","SUPERSEDED"),"CURRENT"))</f>
        <v/>
      </c>
      <c r="O542" s="19" t="n"/>
    </row>
    <row r="543">
      <c r="A543" s="19" t="n"/>
      <c r="B543" s="20" t="inlineStr">
        <is>
          <t>4503-XH-DL-8905-8941-5003-HWS1-06_Rev0</t>
        </is>
      </c>
      <c r="C543" s="21" t="n">
        <v>0</v>
      </c>
      <c r="D543" s="21" t="n">
        <v>46227</v>
      </c>
      <c r="E543" s="20" t="inlineStr">
        <is>
          <t>IFI - ISSUED FOR INFORMATION</t>
        </is>
      </c>
      <c r="F543" s="21" t="n">
        <v>8905</v>
      </c>
      <c r="G543" s="20" t="inlineStr">
        <is>
          <t>PIPE B36.10/36.19 A333 6-SMLS PE PE</t>
        </is>
      </c>
      <c r="H543" s="20" t="inlineStr">
        <is>
          <t>A333</t>
        </is>
      </c>
      <c r="I543" s="22" t="n">
        <v>1</v>
      </c>
      <c r="J543" s="21" t="inlineStr">
        <is>
          <t>XS</t>
        </is>
      </c>
      <c r="K543" s="20" t="inlineStr">
        <is>
          <t>I63649231</t>
        </is>
      </c>
      <c r="L543" s="22" t="n">
        <v>0.2</v>
      </c>
      <c r="M543" s="20">
        <f>IFERROR(LEFT(B543,SEARCH("_Rev",B543)-1),B543)</f>
        <v/>
      </c>
      <c r="N543" s="20">
        <f>IF(B543="","",IF(ISNUMBER(C543),IF(COUNTIFS($M$3:$M$1026,M543,$C$3:$C$1026,"&gt;"&amp;C543)=0,"CURRENT","SUPERSEDED"),"CURRENT"))</f>
        <v/>
      </c>
      <c r="O543" s="19" t="n"/>
    </row>
    <row r="544">
      <c r="A544" s="19" t="n"/>
      <c r="B544" s="20" t="inlineStr">
        <is>
          <t>4503-XH-DL-8905-8950-5003-LN-01_Rev0</t>
        </is>
      </c>
      <c r="C544" s="21" t="n">
        <v>0</v>
      </c>
      <c r="D544" s="21" t="n">
        <v>46227</v>
      </c>
      <c r="E544" s="20" t="inlineStr">
        <is>
          <t>IFC - ISSUED FOR CONSTRUCTION</t>
        </is>
      </c>
      <c r="F544" s="21" t="n">
        <v>8905</v>
      </c>
      <c r="G544" s="20" t="inlineStr">
        <is>
          <t>PIPE B36.10/36.19 A333 6-SMLS BE BE</t>
        </is>
      </c>
      <c r="H544" s="20" t="inlineStr">
        <is>
          <t>A333</t>
        </is>
      </c>
      <c r="I544" s="22" t="n">
        <v>16</v>
      </c>
      <c r="J544" s="21" t="inlineStr">
        <is>
          <t>STD</t>
        </is>
      </c>
      <c r="K544" s="20" t="inlineStr">
        <is>
          <t>I65585719</t>
        </is>
      </c>
      <c r="L544" s="22" t="n">
        <v>11.2</v>
      </c>
      <c r="M544" s="20">
        <f>IFERROR(LEFT(B544,SEARCH("_Rev",B544)-1),B544)</f>
        <v/>
      </c>
      <c r="N544" s="20">
        <f>IF(B544="","",IF(ISNUMBER(C544),IF(COUNTIFS($M$3:$M$1026,M544,$C$3:$C$1026,"&gt;"&amp;C544)=0,"CURRENT","SUPERSEDED"),"CURRENT"))</f>
        <v/>
      </c>
      <c r="O544" s="19" t="n"/>
    </row>
    <row r="545">
      <c r="A545" s="19" t="n"/>
      <c r="B545" s="20" t="inlineStr">
        <is>
          <t>4503-XH-DL-8905-8950-5021-LN-01_Rev0</t>
        </is>
      </c>
      <c r="C545" s="21" t="n">
        <v>0</v>
      </c>
      <c r="D545" s="21" t="n">
        <v>46231</v>
      </c>
      <c r="E545" s="20" t="inlineStr">
        <is>
          <t>IFC - ISSUED FOR CONSTRUCTION</t>
        </is>
      </c>
      <c r="F545" s="21" t="n">
        <v>8905</v>
      </c>
      <c r="G545" s="20" t="inlineStr">
        <is>
          <t>PIPE B36.10/36.19 A333 6-SMLS BE BE</t>
        </is>
      </c>
      <c r="H545" s="20" t="inlineStr">
        <is>
          <t>A333</t>
        </is>
      </c>
      <c r="I545" s="22" t="n">
        <v>8</v>
      </c>
      <c r="J545" s="21" t="inlineStr">
        <is>
          <t>STD</t>
        </is>
      </c>
      <c r="K545" s="20" t="inlineStr">
        <is>
          <t>I64108766</t>
        </is>
      </c>
      <c r="L545" s="22" t="n">
        <v>7.5</v>
      </c>
      <c r="M545" s="20">
        <f>IFERROR(LEFT(B545,SEARCH("_Rev",B545)-1),B545)</f>
        <v/>
      </c>
      <c r="N545" s="20">
        <f>IF(B545="","",IF(ISNUMBER(C545),IF(COUNTIFS($M$3:$M$1026,M545,$C$3:$C$1026,"&gt;"&amp;C545)=0,"CURRENT","SUPERSEDED"),"CURRENT"))</f>
        <v/>
      </c>
      <c r="O545" s="19" t="n"/>
    </row>
    <row r="546">
      <c r="A546" s="19" t="n"/>
      <c r="B546" s="20" t="inlineStr">
        <is>
          <t>4503-XH-DL-8905-8950-5022-LN-01_Rev0</t>
        </is>
      </c>
      <c r="C546" s="21" t="n">
        <v>0</v>
      </c>
      <c r="D546" s="21" t="n">
        <v>46231</v>
      </c>
      <c r="E546" s="20" t="inlineStr">
        <is>
          <t>IFC - ISSUED FOR CONSTRUCTION</t>
        </is>
      </c>
      <c r="F546" s="21" t="n">
        <v>8905</v>
      </c>
      <c r="G546" s="20" t="inlineStr">
        <is>
          <t>PIPE B36.10/36.19 A333 6-SMLS BE BE</t>
        </is>
      </c>
      <c r="H546" s="20" t="inlineStr">
        <is>
          <t>A333</t>
        </is>
      </c>
      <c r="I546" s="22" t="n">
        <v>16</v>
      </c>
      <c r="J546" s="21" t="inlineStr">
        <is>
          <t>STD</t>
        </is>
      </c>
      <c r="K546" s="20" t="inlineStr">
        <is>
          <t>I65585719</t>
        </is>
      </c>
      <c r="L546" s="22" t="n">
        <v>68.3</v>
      </c>
      <c r="M546" s="20">
        <f>IFERROR(LEFT(B546,SEARCH("_Rev",B546)-1),B546)</f>
        <v/>
      </c>
      <c r="N546" s="20">
        <f>IF(B546="","",IF(ISNUMBER(C546),IF(COUNTIFS($M$3:$M$1026,M546,$C$3:$C$1026,"&gt;"&amp;C546)=0,"CURRENT","SUPERSEDED"),"CURRENT"))</f>
        <v/>
      </c>
      <c r="O546" s="19" t="n"/>
    </row>
    <row r="547">
      <c r="A547" s="19" t="n"/>
      <c r="B547" s="20" t="inlineStr">
        <is>
          <t>4503-XH-DL-8905-8950-5022-LN-02_Rev0</t>
        </is>
      </c>
      <c r="C547" s="21" t="n">
        <v>0</v>
      </c>
      <c r="D547" s="21" t="n">
        <v>46227</v>
      </c>
      <c r="E547" s="20" t="inlineStr">
        <is>
          <t>IFC - ISSUED FOR CONSTRUCTION</t>
        </is>
      </c>
      <c r="F547" s="21" t="n">
        <v>8905</v>
      </c>
      <c r="G547" s="20" t="inlineStr">
        <is>
          <t>PIPE B36.10/36.19 A333 6-SMLS BE BE</t>
        </is>
      </c>
      <c r="H547" s="20" t="inlineStr">
        <is>
          <t>A333</t>
        </is>
      </c>
      <c r="I547" s="22" t="n">
        <v>16</v>
      </c>
      <c r="J547" s="21" t="inlineStr">
        <is>
          <t>STD</t>
        </is>
      </c>
      <c r="K547" s="20" t="inlineStr">
        <is>
          <t>I65585719</t>
        </is>
      </c>
      <c r="L547" s="22" t="n">
        <v>6</v>
      </c>
      <c r="M547" s="20">
        <f>IFERROR(LEFT(B547,SEARCH("_Rev",B547)-1),B547)</f>
        <v/>
      </c>
      <c r="N547" s="20">
        <f>IF(B547="","",IF(ISNUMBER(C547),IF(COUNTIFS($M$3:$M$1026,M547,$C$3:$C$1026,"&gt;"&amp;C547)=0,"CURRENT","SUPERSEDED"),"CURRENT"))</f>
        <v/>
      </c>
      <c r="O547" s="19" t="n"/>
    </row>
    <row r="548">
      <c r="A548" s="19" t="n"/>
      <c r="B548" s="20" t="inlineStr">
        <is>
          <t>4503-XH-DL-8905-8950-5022-LN-03_Rev0</t>
        </is>
      </c>
      <c r="C548" s="21" t="n">
        <v>0</v>
      </c>
      <c r="D548" s="21" t="n">
        <v>46227</v>
      </c>
      <c r="E548" s="20" t="inlineStr">
        <is>
          <t>IFC - ISSUED FOR CONSTRUCTION</t>
        </is>
      </c>
      <c r="F548" s="21" t="n">
        <v>8905</v>
      </c>
      <c r="G548" s="20" t="inlineStr">
        <is>
          <t>PIPE B36.10/36.19 A333 6-SMLS BE BE</t>
        </is>
      </c>
      <c r="H548" s="20" t="inlineStr">
        <is>
          <t>A333</t>
        </is>
      </c>
      <c r="I548" s="22" t="n">
        <v>16</v>
      </c>
      <c r="J548" s="21" t="inlineStr">
        <is>
          <t>STD</t>
        </is>
      </c>
      <c r="K548" s="20" t="inlineStr">
        <is>
          <t>I65585719</t>
        </is>
      </c>
      <c r="L548" s="22" t="n">
        <v>24.8</v>
      </c>
      <c r="M548" s="20">
        <f>IFERROR(LEFT(B548,SEARCH("_Rev",B548)-1),B548)</f>
        <v/>
      </c>
      <c r="N548" s="20">
        <f>IF(B548="","",IF(ISNUMBER(C548),IF(COUNTIFS($M$3:$M$1026,M548,$C$3:$C$1026,"&gt;"&amp;C548)=0,"CURRENT","SUPERSEDED"),"CURRENT"))</f>
        <v/>
      </c>
      <c r="O548" s="19" t="n"/>
    </row>
    <row r="549">
      <c r="A549" s="19" t="n"/>
      <c r="B549" s="20" t="inlineStr">
        <is>
          <t>4503-XH-DL-8905-8950-5022-LN-04_Rev0</t>
        </is>
      </c>
      <c r="C549" s="21" t="n">
        <v>0</v>
      </c>
      <c r="D549" s="21" t="n">
        <v>46227</v>
      </c>
      <c r="E549" s="20" t="inlineStr">
        <is>
          <t>IFC - ISSUED FOR CONSTRUCTION</t>
        </is>
      </c>
      <c r="F549" s="21" t="n">
        <v>8905</v>
      </c>
      <c r="G549" s="20" t="inlineStr">
        <is>
          <t>PIPE B36.10/36.19 A333 6-SMLS BE BE</t>
        </is>
      </c>
      <c r="H549" s="20" t="inlineStr">
        <is>
          <t>A333</t>
        </is>
      </c>
      <c r="I549" s="22" t="n">
        <v>16</v>
      </c>
      <c r="J549" s="21" t="inlineStr">
        <is>
          <t>STD</t>
        </is>
      </c>
      <c r="K549" s="20" t="inlineStr">
        <is>
          <t>I65585719</t>
        </is>
      </c>
      <c r="L549" s="22" t="n">
        <v>36</v>
      </c>
      <c r="M549" s="20">
        <f>IFERROR(LEFT(B549,SEARCH("_Rev",B549)-1),B549)</f>
        <v/>
      </c>
      <c r="N549" s="20">
        <f>IF(B549="","",IF(ISNUMBER(C549),IF(COUNTIFS($M$3:$M$1026,M549,$C$3:$C$1026,"&gt;"&amp;C549)=0,"CURRENT","SUPERSEDED"),"CURRENT"))</f>
        <v/>
      </c>
      <c r="O549" s="19" t="n"/>
    </row>
    <row r="550">
      <c r="A550" s="19" t="n"/>
      <c r="B550" s="20" t="inlineStr">
        <is>
          <t>4503-XH-DL-8905-8950-5022-LN-05_Rev0</t>
        </is>
      </c>
      <c r="C550" s="21" t="n">
        <v>0</v>
      </c>
      <c r="D550" s="21" t="n">
        <v>46227</v>
      </c>
      <c r="E550" s="20" t="inlineStr">
        <is>
          <t>IFC - ISSUED FOR CONSTRUCTION</t>
        </is>
      </c>
      <c r="F550" s="21" t="n">
        <v>8905</v>
      </c>
      <c r="G550" s="20" t="inlineStr">
        <is>
          <t>PIPE B36.10/36.19 A333 6-SMLS BE BE</t>
        </is>
      </c>
      <c r="H550" s="20" t="inlineStr">
        <is>
          <t>A333</t>
        </is>
      </c>
      <c r="I550" s="22" t="n">
        <v>16</v>
      </c>
      <c r="J550" s="21" t="inlineStr">
        <is>
          <t>STD</t>
        </is>
      </c>
      <c r="K550" s="20" t="inlineStr">
        <is>
          <t>I65585719</t>
        </is>
      </c>
      <c r="L550" s="22" t="n">
        <v>48</v>
      </c>
      <c r="M550" s="20">
        <f>IFERROR(LEFT(B550,SEARCH("_Rev",B550)-1),B550)</f>
        <v/>
      </c>
      <c r="N550" s="20">
        <f>IF(B550="","",IF(ISNUMBER(C550),IF(COUNTIFS($M$3:$M$1026,M550,$C$3:$C$1026,"&gt;"&amp;C550)=0,"CURRENT","SUPERSEDED"),"CURRENT"))</f>
        <v/>
      </c>
      <c r="O550" s="19" t="n"/>
    </row>
    <row r="551">
      <c r="A551" s="19" t="n"/>
      <c r="B551" s="20" t="inlineStr">
        <is>
          <t>4503-XH-DL-8905-8965-5002-PR-01_Rev0</t>
        </is>
      </c>
      <c r="C551" s="21" t="n">
        <v>0</v>
      </c>
      <c r="D551" s="21" t="n">
        <v>46228</v>
      </c>
      <c r="E551" s="20" t="inlineStr">
        <is>
          <t>IFC - ISSUED FOR CONSTRUCTION</t>
        </is>
      </c>
      <c r="F551" s="21" t="n">
        <v>8905</v>
      </c>
      <c r="G551" s="20" t="inlineStr">
        <is>
          <t>PIPE B36.10/36.19 A333 6-SMLS BE BE</t>
        </is>
      </c>
      <c r="H551" s="20" t="inlineStr">
        <is>
          <t>A333</t>
        </is>
      </c>
      <c r="I551" s="22" t="n">
        <v>6</v>
      </c>
      <c r="J551" s="21" t="inlineStr">
        <is>
          <t>STD</t>
        </is>
      </c>
      <c r="K551" s="20" t="inlineStr">
        <is>
          <t>I63649156</t>
        </is>
      </c>
      <c r="L551" s="22" t="n">
        <v>16.8</v>
      </c>
      <c r="M551" s="20">
        <f>IFERROR(LEFT(B551,SEARCH("_Rev",B551)-1),B551)</f>
        <v/>
      </c>
      <c r="N551" s="20">
        <f>IF(B551="","",IF(ISNUMBER(C551),IF(COUNTIFS($M$3:$M$1026,M551,$C$3:$C$1026,"&gt;"&amp;C551)=0,"CURRENT","SUPERSEDED"),"CURRENT"))</f>
        <v/>
      </c>
      <c r="O551" s="19" t="n"/>
    </row>
    <row r="552">
      <c r="A552" s="19" t="n"/>
      <c r="B552" s="20" t="inlineStr">
        <is>
          <t>4503-XH-DL-8909-8950-5003-LN-01_Rev0</t>
        </is>
      </c>
      <c r="C552" s="21" t="n">
        <v>0</v>
      </c>
      <c r="D552" s="21" t="n">
        <v>46227</v>
      </c>
      <c r="E552" s="20" t="inlineStr">
        <is>
          <t>IFC - ISSUED FOR CONSTRUCTION</t>
        </is>
      </c>
      <c r="F552" s="21" t="n">
        <v>8909</v>
      </c>
      <c r="G552" s="20" t="inlineStr">
        <is>
          <t>PIPE B36.10/36.19 A333 6-SMLS BE BE</t>
        </is>
      </c>
      <c r="H552" s="20" t="inlineStr">
        <is>
          <t>A333</t>
        </is>
      </c>
      <c r="I552" s="22" t="n">
        <v>16</v>
      </c>
      <c r="J552" s="21" t="inlineStr">
        <is>
          <t>STD</t>
        </is>
      </c>
      <c r="K552" s="20" t="inlineStr">
        <is>
          <t>I65585719</t>
        </is>
      </c>
      <c r="L552" s="22" t="n">
        <v>59.1</v>
      </c>
      <c r="M552" s="20">
        <f>IFERROR(LEFT(B552,SEARCH("_Rev",B552)-1),B552)</f>
        <v/>
      </c>
      <c r="N552" s="20">
        <f>IF(B552="","",IF(ISNUMBER(C552),IF(COUNTIFS($M$3:$M$1026,M552,$C$3:$C$1026,"&gt;"&amp;C552)=0,"CURRENT","SUPERSEDED"),"CURRENT"))</f>
        <v/>
      </c>
      <c r="O552" s="19" t="n"/>
    </row>
    <row r="553">
      <c r="A553" s="19" t="n"/>
      <c r="B553" s="20" t="inlineStr">
        <is>
          <t>4503-XH-DL-8909-8950-5003-LN-02_Rev0</t>
        </is>
      </c>
      <c r="C553" s="21" t="n">
        <v>0</v>
      </c>
      <c r="D553" s="21" t="n">
        <v>46227</v>
      </c>
      <c r="E553" s="20" t="inlineStr">
        <is>
          <t>IFC - ISSUED FOR CONSTRUCTION</t>
        </is>
      </c>
      <c r="F553" s="21" t="n">
        <v>8909</v>
      </c>
      <c r="G553" s="20" t="inlineStr">
        <is>
          <t>PIPE B36.10/36.19 A333 6-SMLS BE BE</t>
        </is>
      </c>
      <c r="H553" s="20" t="inlineStr">
        <is>
          <t>A333</t>
        </is>
      </c>
      <c r="I553" s="22" t="n">
        <v>16</v>
      </c>
      <c r="J553" s="21" t="inlineStr">
        <is>
          <t>STD</t>
        </is>
      </c>
      <c r="K553" s="20" t="inlineStr">
        <is>
          <t>I65585719</t>
        </is>
      </c>
      <c r="L553" s="22" t="n">
        <v>60</v>
      </c>
      <c r="M553" s="20">
        <f>IFERROR(LEFT(B553,SEARCH("_Rev",B553)-1),B553)</f>
        <v/>
      </c>
      <c r="N553" s="20">
        <f>IF(B553="","",IF(ISNUMBER(C553),IF(COUNTIFS($M$3:$M$1026,M553,$C$3:$C$1026,"&gt;"&amp;C553)=0,"CURRENT","SUPERSEDED"),"CURRENT"))</f>
        <v/>
      </c>
      <c r="O553" s="19" t="n"/>
    </row>
    <row r="554">
      <c r="A554" s="19" t="n"/>
      <c r="B554" s="20" t="inlineStr">
        <is>
          <t>4503-XH-DL-8909-8950-5003-LN-03_Rev0</t>
        </is>
      </c>
      <c r="C554" s="21" t="n">
        <v>0</v>
      </c>
      <c r="D554" s="21" t="n">
        <v>46227</v>
      </c>
      <c r="E554" s="20" t="inlineStr">
        <is>
          <t>IFC - ISSUED FOR CONSTRUCTION</t>
        </is>
      </c>
      <c r="F554" s="21" t="n">
        <v>8909</v>
      </c>
      <c r="G554" s="20" t="inlineStr">
        <is>
          <t>PIPE B36.10/36.19 A333 6-SMLS BE BE</t>
        </is>
      </c>
      <c r="H554" s="20" t="inlineStr">
        <is>
          <t>A333</t>
        </is>
      </c>
      <c r="I554" s="22" t="n">
        <v>16</v>
      </c>
      <c r="J554" s="21" t="inlineStr">
        <is>
          <t>STD</t>
        </is>
      </c>
      <c r="K554" s="20" t="inlineStr">
        <is>
          <t>I65585719</t>
        </is>
      </c>
      <c r="L554" s="22" t="n">
        <v>4.8</v>
      </c>
      <c r="M554" s="20">
        <f>IFERROR(LEFT(B554,SEARCH("_Rev",B554)-1),B554)</f>
        <v/>
      </c>
      <c r="N554" s="20">
        <f>IF(B554="","",IF(ISNUMBER(C554),IF(COUNTIFS($M$3:$M$1026,M554,$C$3:$C$1026,"&gt;"&amp;C554)=0,"CURRENT","SUPERSEDED"),"CURRENT"))</f>
        <v/>
      </c>
      <c r="O554" s="19" t="n"/>
    </row>
    <row r="555">
      <c r="A555" s="19" t="n"/>
      <c r="B555" s="20" t="inlineStr">
        <is>
          <t>4503-XH-DL-8909-8950-5003-LN-04_Rev0</t>
        </is>
      </c>
      <c r="C555" s="21" t="n">
        <v>0</v>
      </c>
      <c r="D555" s="21" t="n">
        <v>46227</v>
      </c>
      <c r="E555" s="20" t="inlineStr">
        <is>
          <t>IFC - ISSUED FOR CONSTRUCTION</t>
        </is>
      </c>
      <c r="F555" s="21" t="n">
        <v>8909</v>
      </c>
      <c r="G555" s="20" t="inlineStr">
        <is>
          <t>PIPE B36.10/36.19 A333 6-SMLS BE BE</t>
        </is>
      </c>
      <c r="H555" s="20" t="inlineStr">
        <is>
          <t>A333</t>
        </is>
      </c>
      <c r="I555" s="22" t="n">
        <v>16</v>
      </c>
      <c r="J555" s="21" t="inlineStr">
        <is>
          <t>STD</t>
        </is>
      </c>
      <c r="K555" s="20" t="inlineStr">
        <is>
          <t>I65585719</t>
        </is>
      </c>
      <c r="L555" s="22" t="n">
        <v>23.1</v>
      </c>
      <c r="M555" s="20">
        <f>IFERROR(LEFT(B555,SEARCH("_Rev",B555)-1),B555)</f>
        <v/>
      </c>
      <c r="N555" s="20">
        <f>IF(B555="","",IF(ISNUMBER(C555),IF(COUNTIFS($M$3:$M$1026,M555,$C$3:$C$1026,"&gt;"&amp;C555)=0,"CURRENT","SUPERSEDED"),"CURRENT"))</f>
        <v/>
      </c>
      <c r="O555" s="19" t="n"/>
    </row>
    <row r="556">
      <c r="A556" s="19" t="n"/>
      <c r="B556" s="20" t="inlineStr">
        <is>
          <t>4503-XH-DL-8909-8950-5003-LN-05_Rev0</t>
        </is>
      </c>
      <c r="C556" s="21" t="n">
        <v>0</v>
      </c>
      <c r="D556" s="21" t="n">
        <v>46227</v>
      </c>
      <c r="E556" s="20" t="inlineStr">
        <is>
          <t>IFC - ISSUED FOR CONSTRUCTION</t>
        </is>
      </c>
      <c r="F556" s="21" t="n">
        <v>8909</v>
      </c>
      <c r="G556" s="20" t="inlineStr">
        <is>
          <t>PIPE B36.10/36.19 A333 6-SMLS BE BE</t>
        </is>
      </c>
      <c r="H556" s="20" t="inlineStr">
        <is>
          <t>A333</t>
        </is>
      </c>
      <c r="I556" s="22" t="n">
        <v>16</v>
      </c>
      <c r="J556" s="21" t="inlineStr">
        <is>
          <t>STD</t>
        </is>
      </c>
      <c r="K556" s="20" t="inlineStr">
        <is>
          <t>I65585719</t>
        </is>
      </c>
      <c r="L556" s="22" t="n">
        <v>46.8</v>
      </c>
      <c r="M556" s="20">
        <f>IFERROR(LEFT(B556,SEARCH("_Rev",B556)-1),B556)</f>
        <v/>
      </c>
      <c r="N556" s="20">
        <f>IF(B556="","",IF(ISNUMBER(C556),IF(COUNTIFS($M$3:$M$1026,M556,$C$3:$C$1026,"&gt;"&amp;C556)=0,"CURRENT","SUPERSEDED"),"CURRENT"))</f>
        <v/>
      </c>
      <c r="O556" s="19" t="n"/>
    </row>
    <row r="557">
      <c r="A557" s="19" t="n"/>
      <c r="B557" s="20" t="inlineStr">
        <is>
          <t>4503-XH-DL-8909-8950-5003-LN-06_Rev0</t>
        </is>
      </c>
      <c r="C557" s="21" t="n">
        <v>0</v>
      </c>
      <c r="D557" s="21" t="n">
        <v>46227</v>
      </c>
      <c r="E557" s="20" t="inlineStr">
        <is>
          <t>IFC - ISSUED FOR CONSTRUCTION</t>
        </is>
      </c>
      <c r="F557" s="21" t="n">
        <v>8909</v>
      </c>
      <c r="G557" s="20" t="inlineStr">
        <is>
          <t>PIPE B36.10/36.19 A333 6-SMLS BE BE</t>
        </is>
      </c>
      <c r="H557" s="20" t="inlineStr">
        <is>
          <t>A333</t>
        </is>
      </c>
      <c r="I557" s="22" t="n">
        <v>16</v>
      </c>
      <c r="J557" s="21" t="inlineStr">
        <is>
          <t>STD</t>
        </is>
      </c>
      <c r="K557" s="20" t="inlineStr">
        <is>
          <t>I65585719</t>
        </is>
      </c>
      <c r="L557" s="22" t="n">
        <v>32.6</v>
      </c>
      <c r="M557" s="20">
        <f>IFERROR(LEFT(B557,SEARCH("_Rev",B557)-1),B557)</f>
        <v/>
      </c>
      <c r="N557" s="20">
        <f>IF(B557="","",IF(ISNUMBER(C557),IF(COUNTIFS($M$3:$M$1026,M557,$C$3:$C$1026,"&gt;"&amp;C557)=0,"CURRENT","SUPERSEDED"),"CURRENT"))</f>
        <v/>
      </c>
      <c r="O557" s="19" t="n"/>
    </row>
    <row r="558">
      <c r="A558" s="19" t="n"/>
      <c r="B558" s="20" t="inlineStr">
        <is>
          <t>4503-XH-DL-8909-8965-5002-PR-01_Rev0</t>
        </is>
      </c>
      <c r="C558" s="21" t="n">
        <v>0</v>
      </c>
      <c r="D558" s="21" t="n">
        <v>46232</v>
      </c>
      <c r="E558" s="20" t="inlineStr">
        <is>
          <t>IFC - ISSUED FOR CONSTRUCTION</t>
        </is>
      </c>
      <c r="F558" s="21" t="n">
        <v>8909</v>
      </c>
      <c r="G558" s="20" t="inlineStr">
        <is>
          <t>PIPE B36.10/36.19 A333 6-SMLS BE BE</t>
        </is>
      </c>
      <c r="H558" s="20" t="inlineStr">
        <is>
          <t>A333</t>
        </is>
      </c>
      <c r="I558" s="22" t="n">
        <v>6</v>
      </c>
      <c r="J558" s="21" t="inlineStr">
        <is>
          <t>STD</t>
        </is>
      </c>
      <c r="K558" s="20" t="inlineStr">
        <is>
          <t>I63649156</t>
        </is>
      </c>
      <c r="L558" s="22" t="n">
        <v>59</v>
      </c>
      <c r="M558" s="20">
        <f>IFERROR(LEFT(B558,SEARCH("_Rev",B558)-1),B558)</f>
        <v/>
      </c>
      <c r="N558" s="20">
        <f>IF(B558="","",IF(ISNUMBER(C558),IF(COUNTIFS($M$3:$M$1026,M558,$C$3:$C$1026,"&gt;"&amp;C558)=0,"CURRENT","SUPERSEDED"),"CURRENT"))</f>
        <v/>
      </c>
      <c r="O558" s="19" t="n"/>
    </row>
    <row r="559">
      <c r="A559" s="19" t="n"/>
      <c r="B559" s="20" t="inlineStr">
        <is>
          <t>4503-XH-DL-8909-8965-5002-PR-02_Rev0</t>
        </is>
      </c>
      <c r="C559" s="21" t="n">
        <v>0</v>
      </c>
      <c r="D559" s="21" t="n">
        <v>46228</v>
      </c>
      <c r="E559" s="20" t="inlineStr">
        <is>
          <t>IFC - ISSUED FOR CONSTRUCTION</t>
        </is>
      </c>
      <c r="F559" s="21" t="n">
        <v>8909</v>
      </c>
      <c r="G559" s="20" t="inlineStr">
        <is>
          <t>PIPE B36.10/36.19 A333 6-SMLS BE BE</t>
        </is>
      </c>
      <c r="H559" s="20" t="inlineStr">
        <is>
          <t>A333</t>
        </is>
      </c>
      <c r="I559" s="22" t="n">
        <v>6</v>
      </c>
      <c r="J559" s="21" t="inlineStr">
        <is>
          <t>STD</t>
        </is>
      </c>
      <c r="K559" s="20" t="inlineStr">
        <is>
          <t>I63649156</t>
        </is>
      </c>
      <c r="L559" s="22" t="n">
        <v>60</v>
      </c>
      <c r="M559" s="20">
        <f>IFERROR(LEFT(B559,SEARCH("_Rev",B559)-1),B559)</f>
        <v/>
      </c>
      <c r="N559" s="20">
        <f>IF(B559="","",IF(ISNUMBER(C559),IF(COUNTIFS($M$3:$M$1026,M559,$C$3:$C$1026,"&gt;"&amp;C559)=0,"CURRENT","SUPERSEDED"),"CURRENT"))</f>
        <v/>
      </c>
      <c r="O559" s="19" t="n"/>
    </row>
    <row r="560">
      <c r="A560" s="19" t="n"/>
      <c r="B560" s="20" t="inlineStr">
        <is>
          <t>4503-XH-DL-8909-8965-5002-PR-03_Rev0</t>
        </is>
      </c>
      <c r="C560" s="21" t="n">
        <v>0</v>
      </c>
      <c r="D560" s="21" t="n">
        <v>46228</v>
      </c>
      <c r="E560" s="20" t="inlineStr">
        <is>
          <t>IFC - ISSUED FOR CONSTRUCTION</t>
        </is>
      </c>
      <c r="F560" s="21" t="n">
        <v>8909</v>
      </c>
      <c r="G560" s="20" t="inlineStr">
        <is>
          <t>PIPE B36.10/36.19 A333 6-SMLS BE BE</t>
        </is>
      </c>
      <c r="H560" s="20" t="inlineStr">
        <is>
          <t>A333</t>
        </is>
      </c>
      <c r="I560" s="22" t="n">
        <v>6</v>
      </c>
      <c r="J560" s="21" t="inlineStr">
        <is>
          <t>STD</t>
        </is>
      </c>
      <c r="K560" s="20" t="inlineStr">
        <is>
          <t>I63649156</t>
        </is>
      </c>
      <c r="L560" s="22" t="n">
        <v>5.8</v>
      </c>
      <c r="M560" s="20">
        <f>IFERROR(LEFT(B560,SEARCH("_Rev",B560)-1),B560)</f>
        <v/>
      </c>
      <c r="N560" s="20">
        <f>IF(B560="","",IF(ISNUMBER(C560),IF(COUNTIFS($M$3:$M$1026,M560,$C$3:$C$1026,"&gt;"&amp;C560)=0,"CURRENT","SUPERSEDED"),"CURRENT"))</f>
        <v/>
      </c>
      <c r="O560" s="19" t="n"/>
    </row>
    <row r="561">
      <c r="A561" s="19" t="n"/>
      <c r="B561" s="20" t="inlineStr">
        <is>
          <t>4503-XH-DL-8909-8965-5002-PR-04_Rev0</t>
        </is>
      </c>
      <c r="C561" s="21" t="n">
        <v>0</v>
      </c>
      <c r="D561" s="21" t="n">
        <v>46228</v>
      </c>
      <c r="E561" s="20" t="inlineStr">
        <is>
          <t>IFC - ISSUED FOR CONSTRUCTION</t>
        </is>
      </c>
      <c r="F561" s="21" t="n">
        <v>8909</v>
      </c>
      <c r="G561" s="20" t="inlineStr">
        <is>
          <t>PIPE B36.10/36.19 A333 6-SMLS BE BE</t>
        </is>
      </c>
      <c r="H561" s="20" t="inlineStr">
        <is>
          <t>A333</t>
        </is>
      </c>
      <c r="I561" s="22" t="n">
        <v>6</v>
      </c>
      <c r="J561" s="21" t="inlineStr">
        <is>
          <t>STD</t>
        </is>
      </c>
      <c r="K561" s="20" t="inlineStr">
        <is>
          <t>I63649156</t>
        </is>
      </c>
      <c r="L561" s="22" t="n">
        <v>21.7</v>
      </c>
      <c r="M561" s="20">
        <f>IFERROR(LEFT(B561,SEARCH("_Rev",B561)-1),B561)</f>
        <v/>
      </c>
      <c r="N561" s="20">
        <f>IF(B561="","",IF(ISNUMBER(C561),IF(COUNTIFS($M$3:$M$1026,M561,$C$3:$C$1026,"&gt;"&amp;C561)=0,"CURRENT","SUPERSEDED"),"CURRENT"))</f>
        <v/>
      </c>
      <c r="O561" s="19" t="n"/>
    </row>
    <row r="562">
      <c r="A562" s="19" t="n"/>
      <c r="B562" s="20" t="inlineStr">
        <is>
          <t>4503-XH-DL-8909-8965-5002-PR-05_Rev0</t>
        </is>
      </c>
      <c r="C562" s="21" t="n">
        <v>0</v>
      </c>
      <c r="D562" s="21" t="n">
        <v>46228</v>
      </c>
      <c r="E562" s="20" t="inlineStr">
        <is>
          <t>IFC - ISSUED FOR CONSTRUCTION</t>
        </is>
      </c>
      <c r="F562" s="21" t="n">
        <v>8909</v>
      </c>
      <c r="G562" s="20" t="inlineStr">
        <is>
          <t>PIPE B36.10/36.19 A333 6-SMLS BE BE</t>
        </is>
      </c>
      <c r="H562" s="20" t="inlineStr">
        <is>
          <t>A333</t>
        </is>
      </c>
      <c r="I562" s="22" t="n">
        <v>6</v>
      </c>
      <c r="J562" s="21" t="inlineStr">
        <is>
          <t>STD</t>
        </is>
      </c>
      <c r="K562" s="20" t="inlineStr">
        <is>
          <t>I63649156</t>
        </is>
      </c>
      <c r="L562" s="22" t="n">
        <v>47.8</v>
      </c>
      <c r="M562" s="20">
        <f>IFERROR(LEFT(B562,SEARCH("_Rev",B562)-1),B562)</f>
        <v/>
      </c>
      <c r="N562" s="20">
        <f>IF(B562="","",IF(ISNUMBER(C562),IF(COUNTIFS($M$3:$M$1026,M562,$C$3:$C$1026,"&gt;"&amp;C562)=0,"CURRENT","SUPERSEDED"),"CURRENT"))</f>
        <v/>
      </c>
      <c r="O562" s="19" t="n"/>
    </row>
    <row r="563">
      <c r="A563" s="19" t="n"/>
      <c r="B563" s="20" t="inlineStr">
        <is>
          <t>4503-XH-DL-8909-8965-5002-PR-06_Rev0</t>
        </is>
      </c>
      <c r="C563" s="21" t="n">
        <v>0</v>
      </c>
      <c r="D563" s="21" t="n">
        <v>46228</v>
      </c>
      <c r="E563" s="20" t="inlineStr">
        <is>
          <t>IFC - ISSUED FOR CONSTRUCTION</t>
        </is>
      </c>
      <c r="F563" s="21" t="n">
        <v>8909</v>
      </c>
      <c r="G563" s="20" t="inlineStr">
        <is>
          <t>PIPE B36.10/36.19 A333 6-SMLS BE BE</t>
        </is>
      </c>
      <c r="H563" s="20" t="inlineStr">
        <is>
          <t>A333</t>
        </is>
      </c>
      <c r="I563" s="22" t="n">
        <v>6</v>
      </c>
      <c r="J563" s="21" t="inlineStr">
        <is>
          <t>STD</t>
        </is>
      </c>
      <c r="K563" s="20" t="inlineStr">
        <is>
          <t>I63649156</t>
        </is>
      </c>
      <c r="L563" s="22" t="n">
        <v>38.1</v>
      </c>
      <c r="M563" s="20">
        <f>IFERROR(LEFT(B563,SEARCH("_Rev",B563)-1),B563)</f>
        <v/>
      </c>
      <c r="N563" s="20">
        <f>IF(B563="","",IF(ISNUMBER(C563),IF(COUNTIFS($M$3:$M$1026,M563,$C$3:$C$1026,"&gt;"&amp;C563)=0,"CURRENT","SUPERSEDED"),"CURRENT"))</f>
        <v/>
      </c>
      <c r="O563" s="19" t="n"/>
    </row>
    <row r="564">
      <c r="A564" s="19" t="n"/>
      <c r="B564" s="20" t="inlineStr">
        <is>
          <t>4503-XH-DL-8909-8965-5002-PR-07_Rev0</t>
        </is>
      </c>
      <c r="C564" s="21" t="n">
        <v>0</v>
      </c>
      <c r="D564" s="21" t="n">
        <v>46228</v>
      </c>
      <c r="E564" s="20" t="inlineStr">
        <is>
          <t>IFC - ISSUED FOR CONSTRUCTION</t>
        </is>
      </c>
      <c r="F564" s="21" t="n">
        <v>8909</v>
      </c>
      <c r="G564" s="20" t="inlineStr">
        <is>
          <t>PIPE B36.10/36.19 A333 6-SMLS BE BE</t>
        </is>
      </c>
      <c r="H564" s="20" t="inlineStr">
        <is>
          <t>A333</t>
        </is>
      </c>
      <c r="I564" s="22" t="n">
        <v>6</v>
      </c>
      <c r="J564" s="21" t="inlineStr">
        <is>
          <t>STD</t>
        </is>
      </c>
      <c r="K564" s="20" t="inlineStr">
        <is>
          <t>I63649156</t>
        </is>
      </c>
      <c r="L564" s="22" t="n">
        <v>58.5</v>
      </c>
      <c r="M564" s="20">
        <f>IFERROR(LEFT(B564,SEARCH("_Rev",B564)-1),B564)</f>
        <v/>
      </c>
      <c r="N564" s="20">
        <f>IF(B564="","",IF(ISNUMBER(C564),IF(COUNTIFS($M$3:$M$1026,M564,$C$3:$C$1026,"&gt;"&amp;C564)=0,"CURRENT","SUPERSEDED"),"CURRENT"))</f>
        <v/>
      </c>
      <c r="O564" s="19" t="n"/>
    </row>
    <row r="565">
      <c r="A565" s="19" t="n"/>
      <c r="B565" s="20" t="inlineStr">
        <is>
          <t>4503-XH-DL-8909-8965-5002-PR-08_Rev0</t>
        </is>
      </c>
      <c r="C565" s="21" t="n">
        <v>0</v>
      </c>
      <c r="D565" s="21" t="n">
        <v>46228</v>
      </c>
      <c r="E565" s="20" t="inlineStr">
        <is>
          <t>IFC - ISSUED FOR CONSTRUCTION</t>
        </is>
      </c>
      <c r="F565" s="21" t="n">
        <v>8909</v>
      </c>
      <c r="G565" s="20" t="inlineStr">
        <is>
          <t>PIPE B36.10/36.19 A333 6-SMLS BE BE</t>
        </is>
      </c>
      <c r="H565" s="20" t="inlineStr">
        <is>
          <t>A333</t>
        </is>
      </c>
      <c r="I565" s="22" t="n">
        <v>6</v>
      </c>
      <c r="J565" s="21" t="inlineStr">
        <is>
          <t>STD</t>
        </is>
      </c>
      <c r="K565" s="20" t="inlineStr">
        <is>
          <t>I63649156</t>
        </is>
      </c>
      <c r="L565" s="22" t="n">
        <v>47.2</v>
      </c>
      <c r="M565" s="20">
        <f>IFERROR(LEFT(B565,SEARCH("_Rev",B565)-1),B565)</f>
        <v/>
      </c>
      <c r="N565" s="20">
        <f>IF(B565="","",IF(ISNUMBER(C565),IF(COUNTIFS($M$3:$M$1026,M565,$C$3:$C$1026,"&gt;"&amp;C565)=0,"CURRENT","SUPERSEDED"),"CURRENT"))</f>
        <v/>
      </c>
      <c r="O565" s="19" t="n"/>
    </row>
    <row r="566">
      <c r="A566" s="19" t="n"/>
      <c r="B566" s="20" t="inlineStr">
        <is>
          <t>4503-XH-DL-8906-8634-5001-CFW-01_Rev0</t>
        </is>
      </c>
      <c r="C566" s="21" t="n">
        <v>0</v>
      </c>
      <c r="D566" s="21" t="n">
        <v>46233</v>
      </c>
      <c r="E566" s="20" t="inlineStr">
        <is>
          <t>IFC - ISSUED FOR CONSTRUCTION</t>
        </is>
      </c>
      <c r="F566" s="21" t="n">
        <v>8906</v>
      </c>
      <c r="G566" s="20" t="inlineStr">
        <is>
          <t>PIPE B36.10/36.19 A333 6-SMLS BE BE</t>
        </is>
      </c>
      <c r="H566" s="20" t="inlineStr">
        <is>
          <t>A333</t>
        </is>
      </c>
      <c r="I566" s="22" t="n">
        <v>24</v>
      </c>
      <c r="J566" s="21" t="inlineStr">
        <is>
          <t>STD</t>
        </is>
      </c>
      <c r="K566" s="20" t="inlineStr">
        <is>
          <t>I64108759</t>
        </is>
      </c>
      <c r="L566" s="22" t="n">
        <v>24.8</v>
      </c>
      <c r="M566" s="20">
        <f>IFERROR(LEFT(B566,SEARCH("_Rev",B566)-1),B566)</f>
        <v/>
      </c>
      <c r="N566" s="20">
        <f>IF(B566="","",IF(ISNUMBER(C566),IF(COUNTIFS($M$3:$M$1026,M566,$C$3:$C$1026,"&gt;"&amp;C566)=0,"CURRENT","SUPERSEDED"),"CURRENT"))</f>
        <v/>
      </c>
      <c r="O566" s="19" t="n"/>
    </row>
    <row r="567">
      <c r="A567" s="19" t="n"/>
      <c r="B567" s="20" t="inlineStr">
        <is>
          <t>4503-XH-DL-8906-8970-1011-FL-01_Rev0</t>
        </is>
      </c>
      <c r="C567" s="21" t="n">
        <v>0</v>
      </c>
      <c r="D567" s="21" t="n">
        <v>46233</v>
      </c>
      <c r="E567" s="20" t="inlineStr">
        <is>
          <t>IFC - ISSUED FOR CONSTRUCTION</t>
        </is>
      </c>
      <c r="F567" s="21" t="n">
        <v>8906</v>
      </c>
      <c r="G567" s="20" t="inlineStr">
        <is>
          <t xml:space="preserve"> PIPE B36.10/36.19 A333 6-SMLS BE BE</t>
        </is>
      </c>
      <c r="H567" s="20" t="inlineStr">
        <is>
          <t>A333</t>
        </is>
      </c>
      <c r="I567" s="22" t="n">
        <v>24</v>
      </c>
      <c r="J567" s="21" t="inlineStr">
        <is>
          <t>STD</t>
        </is>
      </c>
      <c r="K567" s="20" t="inlineStr">
        <is>
          <t>I64108759</t>
        </is>
      </c>
      <c r="L567" s="22" t="n">
        <v>54.2</v>
      </c>
      <c r="M567" s="20">
        <f>IFERROR(LEFT(B567,SEARCH("_Rev",B567)-1),B567)</f>
        <v/>
      </c>
      <c r="N567" s="20">
        <f>IF(B567="","",IF(ISNUMBER(C567),IF(COUNTIFS($M$3:$M$1026,M567,$C$3:$C$1026,"&gt;"&amp;C567)=0,"CURRENT","SUPERSEDED"),"CURRENT"))</f>
        <v/>
      </c>
      <c r="O567" s="19" t="n"/>
    </row>
    <row r="568">
      <c r="A568" s="19" t="n"/>
      <c r="B568" s="20" t="inlineStr">
        <is>
          <t>4503-XH-DL-8906-8970-1011-FL-02_Rev0</t>
        </is>
      </c>
      <c r="C568" s="21" t="n">
        <v>0</v>
      </c>
      <c r="D568" s="21" t="n">
        <v>46233</v>
      </c>
      <c r="E568" s="20" t="inlineStr">
        <is>
          <t>IFC - ISSUED FOR CONSTRUCTION</t>
        </is>
      </c>
      <c r="F568" s="21" t="n">
        <v>8906</v>
      </c>
      <c r="G568" s="20" t="inlineStr">
        <is>
          <t xml:space="preserve"> PIPE B36.10/36.19 A333 6-SMLS BE BE</t>
        </is>
      </c>
      <c r="H568" s="20" t="inlineStr">
        <is>
          <t>A333</t>
        </is>
      </c>
      <c r="I568" s="22" t="n">
        <v>24</v>
      </c>
      <c r="J568" s="21" t="inlineStr">
        <is>
          <t>STD</t>
        </is>
      </c>
      <c r="K568" s="20" t="inlineStr">
        <is>
          <t>I64108759</t>
        </is>
      </c>
      <c r="L568" s="22" t="n">
        <v>72</v>
      </c>
      <c r="M568" s="20">
        <f>IFERROR(LEFT(B568,SEARCH("_Rev",B568)-1),B568)</f>
        <v/>
      </c>
      <c r="N568" s="20">
        <f>IF(B568="","",IF(ISNUMBER(C568),IF(COUNTIFS($M$3:$M$1026,M568,$C$3:$C$1026,"&gt;"&amp;C568)=0,"CURRENT","SUPERSEDED"),"CURRENT"))</f>
        <v/>
      </c>
      <c r="O568" s="19" t="n"/>
    </row>
    <row r="569">
      <c r="A569" s="19" t="n"/>
      <c r="B569" s="20" t="inlineStr">
        <is>
          <t>4503-XH-DL-8906-8970-1011-FL-03_Rev0</t>
        </is>
      </c>
      <c r="C569" s="21" t="n">
        <v>0</v>
      </c>
      <c r="D569" s="21" t="n">
        <v>46233</v>
      </c>
      <c r="E569" s="20" t="inlineStr">
        <is>
          <t>IFC - ISSUED FOR CONSTRUCTION</t>
        </is>
      </c>
      <c r="F569" s="21" t="n">
        <v>8906</v>
      </c>
      <c r="G569" s="20" t="inlineStr">
        <is>
          <t xml:space="preserve"> PIPE B36.10/36.19 A333 6-SMLS BE BE</t>
        </is>
      </c>
      <c r="H569" s="20" t="inlineStr">
        <is>
          <t>A333</t>
        </is>
      </c>
      <c r="I569" s="22" t="n">
        <v>24</v>
      </c>
      <c r="J569" s="21" t="inlineStr">
        <is>
          <t>STD</t>
        </is>
      </c>
      <c r="K569" s="20" t="inlineStr">
        <is>
          <t>I64108759</t>
        </is>
      </c>
      <c r="L569" s="22" t="n">
        <v>41.4</v>
      </c>
      <c r="M569" s="20">
        <f>IFERROR(LEFT(B569,SEARCH("_Rev",B569)-1),B569)</f>
        <v/>
      </c>
      <c r="N569" s="20">
        <f>IF(B569="","",IF(ISNUMBER(C569),IF(COUNTIFS($M$3:$M$1026,M569,$C$3:$C$1026,"&gt;"&amp;C569)=0,"CURRENT","SUPERSEDED"),"CURRENT"))</f>
        <v/>
      </c>
      <c r="O569" s="19" t="n"/>
    </row>
    <row r="570">
      <c r="A570" s="23" t="n"/>
      <c r="B570" s="20" t="inlineStr">
        <is>
          <t>4503-XH-DL-8501-8770-5201-FL-01_Rev0</t>
        </is>
      </c>
      <c r="C570" s="21" t="n">
        <v>0</v>
      </c>
      <c r="D570" s="21" t="n">
        <v>46241</v>
      </c>
      <c r="E570" s="20" t="inlineStr">
        <is>
          <t>IFC-ISSUED FOR CONSTRUCTION</t>
        </is>
      </c>
      <c r="F570" s="21" t="n">
        <v>8501</v>
      </c>
      <c r="G570" s="20" t="inlineStr">
        <is>
          <t>PIPE B36.10/36.19 A333 6-SMLS BE BE</t>
        </is>
      </c>
      <c r="H570" s="20" t="inlineStr">
        <is>
          <t>A333</t>
        </is>
      </c>
      <c r="I570" s="22" t="n">
        <v>24</v>
      </c>
      <c r="J570" s="21" t="inlineStr">
        <is>
          <t>STD</t>
        </is>
      </c>
      <c r="K570" s="20" t="inlineStr">
        <is>
          <t>I64108759</t>
        </is>
      </c>
      <c r="L570" s="22" t="n">
        <v>25.9</v>
      </c>
      <c r="M570" s="20">
        <f>IFERROR(LEFT(B570,SEARCH("_Rev",B570)-1),B570)</f>
        <v/>
      </c>
      <c r="N570" s="20">
        <f>IF(B570="","",IF(ISNUMBER(C570),IF(COUNTIFS($M$3:$M$1026,M570,$C$3:$C$1026,"&gt;"&amp;C570)=0,"CURRENT","SUPERSEDED"),"CURRENT"))</f>
        <v/>
      </c>
      <c r="O570" s="19" t="n"/>
    </row>
    <row r="571">
      <c r="A571" s="19" t="n"/>
      <c r="B571" s="20" t="inlineStr">
        <is>
          <t>4503-XH-DL-8501-8770-5301-FL-01_Rev0</t>
        </is>
      </c>
      <c r="C571" s="21" t="n">
        <v>0</v>
      </c>
      <c r="D571" s="21" t="n">
        <v>46241</v>
      </c>
      <c r="E571" s="20" t="inlineStr">
        <is>
          <t>IFC-ISSUED FOR CONSTRUCTION</t>
        </is>
      </c>
      <c r="F571" s="21" t="n">
        <v>8501</v>
      </c>
      <c r="G571" s="20" t="inlineStr">
        <is>
          <t>PIPE B36.10/36.19 A333 6-SMLS BE BE</t>
        </is>
      </c>
      <c r="H571" s="20" t="inlineStr">
        <is>
          <t>A333</t>
        </is>
      </c>
      <c r="I571" s="22" t="n">
        <v>24</v>
      </c>
      <c r="J571" s="21" t="inlineStr">
        <is>
          <t>STD</t>
        </is>
      </c>
      <c r="K571" s="20" t="inlineStr">
        <is>
          <t>I64108759</t>
        </is>
      </c>
      <c r="L571" s="22" t="n">
        <v>5.4</v>
      </c>
      <c r="M571" s="20">
        <f>IFERROR(LEFT(B571,SEARCH("_Rev",B571)-1),B571)</f>
        <v/>
      </c>
      <c r="N571" s="20">
        <f>IF(B571="","",IF(ISNUMBER(C571),IF(COUNTIFS($M$3:$M$1026,M571,$C$3:$C$1026,"&gt;"&amp;C571)=0,"CURRENT","SUPERSEDED"),"CURRENT"))</f>
        <v/>
      </c>
      <c r="O571" s="19" t="n"/>
    </row>
    <row r="572">
      <c r="A572" s="19" t="n"/>
      <c r="B572" s="20" t="inlineStr">
        <is>
          <t>4503-XH-DL-8502-8500-1011-FL-01_Rev0</t>
        </is>
      </c>
      <c r="C572" s="21" t="n">
        <v>0</v>
      </c>
      <c r="D572" s="21" t="n">
        <v>46241</v>
      </c>
      <c r="E572" s="20" t="inlineStr">
        <is>
          <t>IFC-ISSUED FOR CONSTRUCTION</t>
        </is>
      </c>
      <c r="F572" s="21" t="n">
        <v>8502</v>
      </c>
      <c r="G572" s="20" t="inlineStr">
        <is>
          <t>PIPE B36.10/36.19 A333 6-SMLS BE BE</t>
        </is>
      </c>
      <c r="H572" s="20" t="inlineStr">
        <is>
          <t>A333</t>
        </is>
      </c>
      <c r="I572" s="22" t="n">
        <v>24</v>
      </c>
      <c r="J572" s="21" t="inlineStr">
        <is>
          <t>STD</t>
        </is>
      </c>
      <c r="K572" s="20" t="inlineStr">
        <is>
          <t>I64108759</t>
        </is>
      </c>
      <c r="L572" s="22" t="n">
        <v>19.9</v>
      </c>
      <c r="M572" s="20">
        <f>IFERROR(LEFT(B572,SEARCH("_Rev",B572)-1),B572)</f>
        <v/>
      </c>
      <c r="N572" s="20">
        <f>IF(B572="","",IF(ISNUMBER(C572),IF(COUNTIFS($M$3:$M$1026,M572,$C$3:$C$1026,"&gt;"&amp;C572)=0,"CURRENT","SUPERSEDED"),"CURRENT"))</f>
        <v/>
      </c>
      <c r="O572" s="19" t="n"/>
    </row>
    <row r="573">
      <c r="A573" s="19" t="n"/>
      <c r="B573" s="20" t="inlineStr">
        <is>
          <t>4503-XH-DL-8502-8500-5101-FL-01_Rev0</t>
        </is>
      </c>
      <c r="C573" s="21" t="n">
        <v>0</v>
      </c>
      <c r="D573" s="21" t="n">
        <v>46241</v>
      </c>
      <c r="E573" s="20" t="inlineStr">
        <is>
          <t>IFC-ISSUED FOR CONSTRUCTION</t>
        </is>
      </c>
      <c r="F573" s="21" t="n">
        <v>8502</v>
      </c>
      <c r="G573" s="20" t="inlineStr">
        <is>
          <t>PIPE B36.10/36.19 A671 CC60 CL.22 S2 BE BE</t>
        </is>
      </c>
      <c r="H573" s="20" t="inlineStr">
        <is>
          <t>A671</t>
        </is>
      </c>
      <c r="I573" s="22" t="n">
        <v>84</v>
      </c>
      <c r="J573" s="21" t="inlineStr">
        <is>
          <t>20.62</t>
        </is>
      </c>
      <c r="K573" s="20" t="inlineStr">
        <is>
          <t>I70248737</t>
        </is>
      </c>
      <c r="L573" s="22" t="n">
        <v>46.8</v>
      </c>
      <c r="M573" s="20">
        <f>IFERROR(LEFT(B573,SEARCH("_Rev",B573)-1),B573)</f>
        <v/>
      </c>
      <c r="N573" s="20">
        <f>IF(B573="","",IF(ISNUMBER(C573),IF(COUNTIFS($M$3:$M$1026,M573,$C$3:$C$1026,"&gt;"&amp;C573)=0,"CURRENT","SUPERSEDED"),"CURRENT"))</f>
        <v/>
      </c>
      <c r="O573" s="19" t="n"/>
    </row>
    <row r="574">
      <c r="A574" s="19" t="n"/>
      <c r="B574" s="20" t="inlineStr">
        <is>
          <t>4503-XH-DL-8906-8960-1002-NG-01_Rev0</t>
        </is>
      </c>
      <c r="C574" s="21" t="n">
        <v>0</v>
      </c>
      <c r="D574" s="21" t="n">
        <v>46244</v>
      </c>
      <c r="E574" s="20" t="inlineStr">
        <is>
          <t>IFC - ISSUED FOR CONSTRUCTION</t>
        </is>
      </c>
      <c r="F574" s="21" t="n">
        <v>8906</v>
      </c>
      <c r="G574" s="20" t="inlineStr">
        <is>
          <t>PIPE B36.10/36.19 A333 6-SMLS BE BE</t>
        </is>
      </c>
      <c r="H574" s="20" t="inlineStr">
        <is>
          <t>A333</t>
        </is>
      </c>
      <c r="I574" s="22" t="n">
        <v>20</v>
      </c>
      <c r="J574" s="21" t="inlineStr">
        <is>
          <t>STD</t>
        </is>
      </c>
      <c r="K574" s="20" t="inlineStr">
        <is>
          <t>I64108758</t>
        </is>
      </c>
      <c r="L574" s="22" t="n">
        <v>46.6</v>
      </c>
      <c r="M574" s="20">
        <f>IFERROR(LEFT(B574,SEARCH("_Rev",B574)-1),B574)</f>
        <v/>
      </c>
      <c r="N574" s="20">
        <f>IF(B574="","",IF(ISNUMBER(C574),IF(COUNTIFS($M$3:$M$1026,M574,$C$3:$C$1026,"&gt;"&amp;C574)=0,"CURRENT","SUPERSEDED"),"CURRENT"))</f>
        <v/>
      </c>
      <c r="O574" s="19" t="n"/>
    </row>
    <row r="575">
      <c r="A575" s="19" t="n"/>
      <c r="B575" s="20" t="inlineStr">
        <is>
          <t>4503-XH-DL-8906-8960-1003-NG-01_Rev0</t>
        </is>
      </c>
      <c r="C575" s="21" t="n">
        <v>0</v>
      </c>
      <c r="D575" s="21" t="n">
        <v>46244</v>
      </c>
      <c r="E575" s="20" t="inlineStr">
        <is>
          <t>IFC - ISSUED FOR CONSTRUCTION</t>
        </is>
      </c>
      <c r="F575" s="21" t="n">
        <v>8906</v>
      </c>
      <c r="G575" s="20" t="inlineStr">
        <is>
          <t>PIPE B36.10/36.19 A333 6-SMLS BE BE</t>
        </is>
      </c>
      <c r="H575" s="20" t="inlineStr">
        <is>
          <t>A333</t>
        </is>
      </c>
      <c r="I575" s="22" t="n">
        <v>20</v>
      </c>
      <c r="J575" s="21" t="inlineStr">
        <is>
          <t>STD</t>
        </is>
      </c>
      <c r="K575" s="20" t="inlineStr">
        <is>
          <t>I64108758</t>
        </is>
      </c>
      <c r="L575" s="22" t="n">
        <v>15.3</v>
      </c>
      <c r="M575" s="20">
        <f>IFERROR(LEFT(B575,SEARCH("_Rev",B575)-1),B575)</f>
        <v/>
      </c>
      <c r="N575" s="20">
        <f>IF(B575="","",IF(ISNUMBER(C575),IF(COUNTIFS($M$3:$M$1026,M575,$C$3:$C$1026,"&gt;"&amp;C575)=0,"CURRENT","SUPERSEDED"),"CURRENT"))</f>
        <v/>
      </c>
      <c r="O575" s="19" t="n"/>
    </row>
    <row r="576">
      <c r="A576" s="19" t="n"/>
      <c r="B576" s="20" t="inlineStr">
        <is>
          <t>4503-XH-DL-8907-8970-1001-FL-01_Rev0</t>
        </is>
      </c>
      <c r="C576" s="21" t="n">
        <v>0</v>
      </c>
      <c r="D576" s="21" t="n">
        <v>46244</v>
      </c>
      <c r="E576" s="20" t="inlineStr">
        <is>
          <t>IFC - ISSUED FOR CONSTRUCTION</t>
        </is>
      </c>
      <c r="F576" s="21" t="n">
        <v>8907</v>
      </c>
      <c r="G576" s="20" t="inlineStr">
        <is>
          <t>PIPE B36.10/36.19 A333 6-SMLS BE BE</t>
        </is>
      </c>
      <c r="H576" s="20" t="inlineStr">
        <is>
          <t>A333</t>
        </is>
      </c>
      <c r="I576" s="22" t="n">
        <v>14</v>
      </c>
      <c r="J576" s="21" t="inlineStr">
        <is>
          <t>STD</t>
        </is>
      </c>
      <c r="K576" s="20" t="inlineStr">
        <is>
          <t>I63649172</t>
        </is>
      </c>
      <c r="L576" s="22" t="n">
        <v>57.8</v>
      </c>
      <c r="M576" s="20">
        <f>IFERROR(LEFT(B576,SEARCH("_Rev",B576)-1),B576)</f>
        <v/>
      </c>
      <c r="N576" s="20">
        <f>IF(B576="","",IF(ISNUMBER(C576),IF(COUNTIFS($M$3:$M$1026,M576,$C$3:$C$1026,"&gt;"&amp;C576)=0,"CURRENT","SUPERSEDED"),"CURRENT"))</f>
        <v/>
      </c>
      <c r="O576" s="19" t="n"/>
    </row>
    <row r="577">
      <c r="A577" s="19" t="n"/>
      <c r="B577" s="20" t="inlineStr">
        <is>
          <t>4503-XH-DL-8907-8970-1001-FL-02_Rev0</t>
        </is>
      </c>
      <c r="C577" s="21" t="n">
        <v>0</v>
      </c>
      <c r="D577" s="21" t="n">
        <v>46244</v>
      </c>
      <c r="E577" s="20" t="inlineStr">
        <is>
          <t>IFC - ISSUED FOR CONSTRUCTION</t>
        </is>
      </c>
      <c r="F577" s="21" t="n">
        <v>8907</v>
      </c>
      <c r="G577" s="20" t="inlineStr">
        <is>
          <t>PIPE B36.10/36.19 A333 6-SMLS BE BE</t>
        </is>
      </c>
      <c r="H577" s="20" t="inlineStr">
        <is>
          <t>A333</t>
        </is>
      </c>
      <c r="I577" s="22" t="n">
        <v>14</v>
      </c>
      <c r="J577" s="21" t="inlineStr">
        <is>
          <t>STD</t>
        </is>
      </c>
      <c r="K577" s="20" t="inlineStr">
        <is>
          <t>I63649172</t>
        </is>
      </c>
      <c r="L577" s="22" t="n">
        <v>17.9</v>
      </c>
      <c r="M577" s="20">
        <f>IFERROR(LEFT(B577,SEARCH("_Rev",B577)-1),B577)</f>
        <v/>
      </c>
      <c r="N577" s="20">
        <f>IF(B577="","",IF(ISNUMBER(C577),IF(COUNTIFS($M$3:$M$1026,M577,$C$3:$C$1026,"&gt;"&amp;C577)=0,"CURRENT","SUPERSEDED"),"CURRENT"))</f>
        <v/>
      </c>
      <c r="O577" s="19" t="n"/>
    </row>
    <row r="578">
      <c r="A578" s="19" t="n"/>
      <c r="B578" s="20" t="inlineStr">
        <is>
          <t>4503-XH-DL-8907-8970-1001-FL-03_Rev0</t>
        </is>
      </c>
      <c r="C578" s="21" t="n">
        <v>0</v>
      </c>
      <c r="D578" s="21" t="n">
        <v>46244</v>
      </c>
      <c r="E578" s="20" t="inlineStr">
        <is>
          <t>IFC - ISSUED FOR CONSTRUCTION</t>
        </is>
      </c>
      <c r="F578" s="21" t="n">
        <v>8907</v>
      </c>
      <c r="G578" s="20" t="inlineStr">
        <is>
          <t>PIPE B36.10/36.19 A333 6-SMLS BE BE</t>
        </is>
      </c>
      <c r="H578" s="20" t="inlineStr">
        <is>
          <t>A333</t>
        </is>
      </c>
      <c r="I578" s="22" t="n">
        <v>24</v>
      </c>
      <c r="J578" s="21" t="inlineStr">
        <is>
          <t>STD</t>
        </is>
      </c>
      <c r="K578" s="20" t="inlineStr">
        <is>
          <t>I64108759</t>
        </is>
      </c>
      <c r="L578" s="22" t="n">
        <v>41.4</v>
      </c>
      <c r="M578" s="20">
        <f>IFERROR(LEFT(B578,SEARCH("_Rev",B578)-1),B578)</f>
        <v/>
      </c>
      <c r="N578" s="20">
        <f>IF(B578="","",IF(ISNUMBER(C578),IF(COUNTIFS($M$3:$M$1026,M578,$C$3:$C$1026,"&gt;"&amp;C578)=0,"CURRENT","SUPERSEDED"),"CURRENT"))</f>
        <v/>
      </c>
      <c r="O578" s="19" t="n"/>
    </row>
    <row r="579">
      <c r="A579" s="19" t="n"/>
      <c r="B579" s="20" t="inlineStr">
        <is>
          <t>4503-XH-DL-8907-8970-1001-FL-03_Rev0</t>
        </is>
      </c>
      <c r="C579" s="21" t="n">
        <v>0</v>
      </c>
      <c r="D579" s="21" t="n">
        <v>46244</v>
      </c>
      <c r="E579" s="20" t="inlineStr">
        <is>
          <t>IFC - ISSUED FOR CONSTRUCTION</t>
        </is>
      </c>
      <c r="F579" s="21" t="n">
        <v>8907</v>
      </c>
      <c r="G579" s="20" t="inlineStr">
        <is>
          <t>PIPE B36.10/36.19 A333 6-SMLS BE BE</t>
        </is>
      </c>
      <c r="H579" s="20" t="inlineStr">
        <is>
          <t>A333</t>
        </is>
      </c>
      <c r="I579" s="22" t="n">
        <v>14</v>
      </c>
      <c r="J579" s="21" t="inlineStr">
        <is>
          <t>STD</t>
        </is>
      </c>
      <c r="K579" s="20" t="inlineStr">
        <is>
          <t>I63649172</t>
        </is>
      </c>
      <c r="L579" s="22" t="n">
        <v>11</v>
      </c>
      <c r="M579" s="20">
        <f>IFERROR(LEFT(B579,SEARCH("_Rev",B579)-1),B579)</f>
        <v/>
      </c>
      <c r="N579" s="20">
        <f>IF(B579="","",IF(ISNUMBER(C579),IF(COUNTIFS($M$3:$M$1026,M579,$C$3:$C$1026,"&gt;"&amp;C579)=0,"CURRENT","SUPERSEDED"),"CURRENT"))</f>
        <v/>
      </c>
      <c r="O579" s="19" t="n"/>
    </row>
    <row r="580">
      <c r="A580" s="19" t="n"/>
      <c r="B580" s="20" t="inlineStr">
        <is>
          <t>4503-XH-DL-8907-8970-1001-FL-04_Rev0</t>
        </is>
      </c>
      <c r="C580" s="21" t="n">
        <v>0</v>
      </c>
      <c r="D580" s="21" t="n">
        <v>46244</v>
      </c>
      <c r="E580" s="20" t="inlineStr">
        <is>
          <t>IFC - ISSUED FOR CONSTRUCTION</t>
        </is>
      </c>
      <c r="F580" s="21" t="n">
        <v>8907</v>
      </c>
      <c r="G580" s="20" t="inlineStr">
        <is>
          <t>PIPE B36.10/36.19 A333 6-SMLS BE BE</t>
        </is>
      </c>
      <c r="H580" s="20" t="inlineStr">
        <is>
          <t>A333</t>
        </is>
      </c>
      <c r="I580" s="22" t="n">
        <v>24</v>
      </c>
      <c r="J580" s="21" t="inlineStr">
        <is>
          <t>STD</t>
        </is>
      </c>
      <c r="K580" s="20" t="inlineStr">
        <is>
          <t>I64108759</t>
        </is>
      </c>
      <c r="L580" s="22" t="n">
        <v>72.7</v>
      </c>
      <c r="M580" s="20">
        <f>IFERROR(LEFT(B580,SEARCH("_Rev",B580)-1),B580)</f>
        <v/>
      </c>
      <c r="N580" s="20">
        <f>IF(B580="","",IF(ISNUMBER(C580),IF(COUNTIFS($M$3:$M$1026,M580,$C$3:$C$1026,"&gt;"&amp;C580)=0,"CURRENT","SUPERSEDED"),"CURRENT"))</f>
        <v/>
      </c>
      <c r="O580" s="19" t="n"/>
    </row>
    <row r="581">
      <c r="A581" s="19" t="n"/>
      <c r="B581" s="20" t="inlineStr">
        <is>
          <t>4503-XH-DL-8907-8970-1001-FL-05_Rev0</t>
        </is>
      </c>
      <c r="C581" s="21" t="n">
        <v>0</v>
      </c>
      <c r="D581" s="21" t="n">
        <v>46244</v>
      </c>
      <c r="E581" s="20" t="inlineStr">
        <is>
          <t>IFC - ISSUED FOR CONSTRUCTION</t>
        </is>
      </c>
      <c r="F581" s="21" t="n">
        <v>8907</v>
      </c>
      <c r="G581" s="20" t="inlineStr">
        <is>
          <t>PIPE B36.10/36.19 A333 6-SMLS BE BE</t>
        </is>
      </c>
      <c r="H581" s="20" t="inlineStr">
        <is>
          <t>A333</t>
        </is>
      </c>
      <c r="I581" s="22" t="n">
        <v>24</v>
      </c>
      <c r="J581" s="21" t="inlineStr">
        <is>
          <t>STD</t>
        </is>
      </c>
      <c r="K581" s="20" t="inlineStr">
        <is>
          <t>I64108759</t>
        </is>
      </c>
      <c r="L581" s="22" t="n">
        <v>69.2</v>
      </c>
      <c r="M581" s="20">
        <f>IFERROR(LEFT(B581,SEARCH("_Rev",B581)-1),B581)</f>
        <v/>
      </c>
      <c r="N581" s="20">
        <f>IF(B581="","",IF(ISNUMBER(C581),IF(COUNTIFS($M$3:$M$1026,M581,$C$3:$C$1026,"&gt;"&amp;C581)=0,"CURRENT","SUPERSEDED"),"CURRENT"))</f>
        <v/>
      </c>
      <c r="O581" s="19" t="n"/>
    </row>
    <row r="582">
      <c r="A582" s="19" t="n"/>
      <c r="B582" s="20" t="inlineStr">
        <is>
          <t>4503-XH-DL-8907-8970-1002-FL-01_Rev0</t>
        </is>
      </c>
      <c r="C582" s="21" t="n">
        <v>0</v>
      </c>
      <c r="D582" s="21" t="n">
        <v>46244</v>
      </c>
      <c r="E582" s="20" t="inlineStr">
        <is>
          <t>IFC - ISSUED FOR CONSTRUCTION</t>
        </is>
      </c>
      <c r="F582" s="21" t="n">
        <v>8907</v>
      </c>
      <c r="G582" s="20" t="inlineStr">
        <is>
          <t>PIPE B36.10/36.19 A333 6-SMLS BE BE</t>
        </is>
      </c>
      <c r="H582" s="20" t="inlineStr">
        <is>
          <t>A333</t>
        </is>
      </c>
      <c r="I582" s="22" t="n">
        <v>14</v>
      </c>
      <c r="J582" s="21" t="inlineStr">
        <is>
          <t>STD</t>
        </is>
      </c>
      <c r="K582" s="20" t="inlineStr">
        <is>
          <t>I63649172</t>
        </is>
      </c>
      <c r="L582" s="22" t="n">
        <v>8.9</v>
      </c>
      <c r="M582" s="20">
        <f>IFERROR(LEFT(B582,SEARCH("_Rev",B582)-1),B582)</f>
        <v/>
      </c>
      <c r="N582" s="20">
        <f>IF(B582="","",IF(ISNUMBER(C582),IF(COUNTIFS($M$3:$M$1026,M582,$C$3:$C$1026,"&gt;"&amp;C582)=0,"CURRENT","SUPERSEDED"),"CURRENT"))</f>
        <v/>
      </c>
      <c r="O582" s="19" t="n"/>
    </row>
    <row r="583">
      <c r="A583" s="19" t="n"/>
      <c r="B583" s="20" t="inlineStr">
        <is>
          <t>4503-XH-DL-8907-8970-1003-FL-01_Rev0</t>
        </is>
      </c>
      <c r="C583" s="21" t="n">
        <v>0</v>
      </c>
      <c r="D583" s="21" t="n">
        <v>46244</v>
      </c>
      <c r="E583" s="20" t="inlineStr">
        <is>
          <t>IFC - ISSUED FOR CONSTRUCTION</t>
        </is>
      </c>
      <c r="F583" s="21" t="n">
        <v>8907</v>
      </c>
      <c r="G583" s="20" t="inlineStr">
        <is>
          <t>PIPE B36.10/36.19 A333 6-SMLS BE BE</t>
        </is>
      </c>
      <c r="H583" s="20" t="inlineStr">
        <is>
          <t>A333</t>
        </is>
      </c>
      <c r="I583" s="22" t="n">
        <v>12</v>
      </c>
      <c r="J583" s="21" t="inlineStr">
        <is>
          <t>STD</t>
        </is>
      </c>
      <c r="K583" s="20" t="inlineStr">
        <is>
          <t>I64955933</t>
        </is>
      </c>
      <c r="L583" s="22" t="n">
        <v>14.9</v>
      </c>
      <c r="M583" s="20">
        <f>IFERROR(LEFT(B583,SEARCH("_Rev",B583)-1),B583)</f>
        <v/>
      </c>
      <c r="N583" s="20">
        <f>IF(B583="","",IF(ISNUMBER(C583),IF(COUNTIFS($M$3:$M$1026,M583,$C$3:$C$1026,"&gt;"&amp;C583)=0,"CURRENT","SUPERSEDED"),"CURRENT"))</f>
        <v/>
      </c>
      <c r="O583" s="19" t="n"/>
    </row>
    <row r="584">
      <c r="A584" s="19" t="n"/>
      <c r="B584" s="20" t="inlineStr">
        <is>
          <t>4503-XH-DL-8907-8970-1006-FL-01_Rev0</t>
        </is>
      </c>
      <c r="C584" s="21" t="n">
        <v>0</v>
      </c>
      <c r="D584" s="21" t="n">
        <v>46244</v>
      </c>
      <c r="E584" s="20" t="inlineStr">
        <is>
          <t>IFC - ISSUED FOR CONSTRUCTION</t>
        </is>
      </c>
      <c r="F584" s="21" t="n">
        <v>8907</v>
      </c>
      <c r="G584" s="20" t="inlineStr">
        <is>
          <t>PIPE B36.10/36.19 A333 6-SMLS BE BE</t>
        </is>
      </c>
      <c r="H584" s="20" t="inlineStr">
        <is>
          <t>A333</t>
        </is>
      </c>
      <c r="I584" s="22" t="n">
        <v>14</v>
      </c>
      <c r="J584" s="21" t="inlineStr">
        <is>
          <t>STD</t>
        </is>
      </c>
      <c r="K584" s="20" t="inlineStr">
        <is>
          <t>I63649172</t>
        </is>
      </c>
      <c r="L584" s="22" t="n">
        <v>16.2</v>
      </c>
      <c r="M584" s="20">
        <f>IFERROR(LEFT(B584,SEARCH("_Rev",B584)-1),B584)</f>
        <v/>
      </c>
      <c r="N584" s="20">
        <f>IF(B584="","",IF(ISNUMBER(C584),IF(COUNTIFS($M$3:$M$1026,M584,$C$3:$C$1026,"&gt;"&amp;C584)=0,"CURRENT","SUPERSEDED"),"CURRENT"))</f>
        <v/>
      </c>
      <c r="O584" s="19" t="n"/>
    </row>
    <row r="585">
      <c r="A585" s="19" t="n"/>
      <c r="B585" s="20" t="inlineStr">
        <is>
          <t>4503-XH-DL-4141-4141-1701-JS-01_Rev0</t>
        </is>
      </c>
      <c r="C585" s="21" t="n">
        <v>0</v>
      </c>
      <c r="D585" s="21" t="n">
        <v>46248</v>
      </c>
      <c r="E585" s="20" t="inlineStr">
        <is>
          <t>IFC-ISSUED FOR CONSTRUCTION</t>
        </is>
      </c>
      <c r="F585" s="21" t="n">
        <v>4141</v>
      </c>
      <c r="G585" s="20" t="inlineStr">
        <is>
          <t>PIPE B36.10/36.19 A671 CC60 CL.22 S2 BE BE</t>
        </is>
      </c>
      <c r="H585" s="20" t="inlineStr">
        <is>
          <t>A671</t>
        </is>
      </c>
      <c r="I585" s="22" t="n">
        <v>30</v>
      </c>
      <c r="J585" s="21" t="inlineStr">
        <is>
          <t>XS</t>
        </is>
      </c>
      <c r="K585" s="20" t="inlineStr">
        <is>
          <t>I65622124</t>
        </is>
      </c>
      <c r="L585" s="22" t="n">
        <v>10.5</v>
      </c>
      <c r="M585" s="20">
        <f>IFERROR(LEFT(B585,SEARCH("_Rev",B585)-1),B585)</f>
        <v/>
      </c>
      <c r="N585" s="20">
        <f>IF(B585="","",IF(ISNUMBER(C585),IF(COUNTIFS($M$3:$M$1026,M585,$C$3:$C$1026,"&gt;"&amp;C585)=0,"CURRENT","SUPERSEDED"),"CURRENT"))</f>
        <v/>
      </c>
      <c r="O585" s="19" t="n"/>
    </row>
    <row r="586">
      <c r="A586" s="19" t="n"/>
      <c r="B586" s="20" t="inlineStr">
        <is>
          <t>4503-XH-DL-4141-4141-1709-JS-01_Rev0</t>
        </is>
      </c>
      <c r="C586" s="21" t="n">
        <v>0</v>
      </c>
      <c r="D586" s="21" t="inlineStr">
        <is>
          <t>14.08.2026</t>
        </is>
      </c>
      <c r="E586" s="20" t="inlineStr">
        <is>
          <t>IFC-ISSUED FOR CONSTRUCTION</t>
        </is>
      </c>
      <c r="F586" s="21" t="n">
        <v>4141</v>
      </c>
      <c r="G586" s="20" t="inlineStr">
        <is>
          <t>PIPE B36.10/36.19 A671 CC60 CL.22 S2 BE BE</t>
        </is>
      </c>
      <c r="H586" s="20" t="inlineStr">
        <is>
          <t>A671</t>
        </is>
      </c>
      <c r="I586" s="22" t="n">
        <v>28</v>
      </c>
      <c r="J586" s="21" t="inlineStr">
        <is>
          <t>STD</t>
        </is>
      </c>
      <c r="K586" s="20" t="inlineStr">
        <is>
          <t>I63649228</t>
        </is>
      </c>
      <c r="L586" s="22" t="n">
        <v>7.2</v>
      </c>
      <c r="M586" s="20">
        <f>IFERROR(LEFT(B586,SEARCH("_Rev",B586)-1),B586)</f>
        <v/>
      </c>
      <c r="N586" s="20">
        <f>IF(B586="","",IF(ISNUMBER(C586),IF(COUNTIFS($M$3:$M$1026,M586,$C$3:$C$1026,"&gt;"&amp;C586)=0,"CURRENT","SUPERSEDED"),"CURRENT"))</f>
        <v/>
      </c>
      <c r="O586" s="19" t="n"/>
    </row>
    <row r="587">
      <c r="A587" s="19" t="n"/>
      <c r="B587" s="20" t="inlineStr">
        <is>
          <t>4503-XH-DL-4141-4141-1709-JS-01_Rev0</t>
        </is>
      </c>
      <c r="C587" s="21" t="n">
        <v>0</v>
      </c>
      <c r="D587" s="21" t="inlineStr">
        <is>
          <t>14.08.2026</t>
        </is>
      </c>
      <c r="E587" s="20" t="inlineStr">
        <is>
          <t>IFC-ISSUED FOR CONSTRUCTION</t>
        </is>
      </c>
      <c r="F587" s="21" t="n">
        <v>4141</v>
      </c>
      <c r="G587" s="20" t="inlineStr">
        <is>
          <t>PIPE B36.10/36.19 A333 6-SMLS BE BE</t>
        </is>
      </c>
      <c r="H587" s="20" t="inlineStr">
        <is>
          <t>A333</t>
        </is>
      </c>
      <c r="I587" s="22" t="n">
        <v>2</v>
      </c>
      <c r="J587" s="21" t="inlineStr">
        <is>
          <t>XS</t>
        </is>
      </c>
      <c r="K587" s="20" t="inlineStr">
        <is>
          <t>I64108762</t>
        </is>
      </c>
      <c r="L587" s="22" t="n">
        <v>0.6</v>
      </c>
      <c r="M587" s="20">
        <f>IFERROR(LEFT(B587,SEARCH("_Rev",B587)-1),B587)</f>
        <v/>
      </c>
      <c r="N587" s="20">
        <f>IF(B587="","",IF(ISNUMBER(C587),IF(COUNTIFS($M$3:$M$1026,M587,$C$3:$C$1026,"&gt;"&amp;C587)=0,"CURRENT","SUPERSEDED"),"CURRENT"))</f>
        <v/>
      </c>
      <c r="O587" s="19" t="n"/>
    </row>
    <row r="588">
      <c r="A588" s="19" t="n"/>
      <c r="B588" s="20" t="inlineStr">
        <is>
          <t>4503-XH-DL-4141-4141-1710-JS-01_Rev0</t>
        </is>
      </c>
      <c r="C588" s="21" t="n">
        <v>0</v>
      </c>
      <c r="D588" s="21" t="inlineStr">
        <is>
          <t>14.08.2026</t>
        </is>
      </c>
      <c r="E588" s="20" t="inlineStr">
        <is>
          <t>IFC-ISSUED FOR CONSTRUCTION</t>
        </is>
      </c>
      <c r="F588" s="21" t="n">
        <v>4141</v>
      </c>
      <c r="G588" s="20" t="inlineStr">
        <is>
          <t>PIPE B36.10/36.19 A671 CC60 CL.22 S2 BE BE</t>
        </is>
      </c>
      <c r="H588" s="20" t="inlineStr">
        <is>
          <t>A671</t>
        </is>
      </c>
      <c r="I588" s="22" t="n">
        <v>28</v>
      </c>
      <c r="J588" s="21" t="inlineStr">
        <is>
          <t>STD</t>
        </is>
      </c>
      <c r="K588" s="20" t="inlineStr">
        <is>
          <t>I63649228</t>
        </is>
      </c>
      <c r="L588" s="22" t="n">
        <v>2.6</v>
      </c>
      <c r="M588" s="20">
        <f>IFERROR(LEFT(B588,SEARCH("_Rev",B588)-1),B588)</f>
        <v/>
      </c>
      <c r="N588" s="20">
        <f>IF(B588="","",IF(ISNUMBER(C588),IF(COUNTIFS($M$3:$M$1026,M588,$C$3:$C$1026,"&gt;"&amp;C588)=0,"CURRENT","SUPERSEDED"),"CURRENT"))</f>
        <v/>
      </c>
      <c r="O588" s="19" t="n"/>
    </row>
    <row r="589">
      <c r="A589" s="19" t="n"/>
      <c r="B589" s="20" t="inlineStr">
        <is>
          <t>4503-XH-DL-4141-4141-1710-JS-01_Rev0</t>
        </is>
      </c>
      <c r="C589" s="21" t="n">
        <v>0</v>
      </c>
      <c r="D589" s="21" t="inlineStr">
        <is>
          <t>14.08.2026</t>
        </is>
      </c>
      <c r="E589" s="20" t="inlineStr">
        <is>
          <t>IFC-ISSUED FOR CONSTRUCTION</t>
        </is>
      </c>
      <c r="F589" s="21" t="n">
        <v>4141</v>
      </c>
      <c r="G589" s="20" t="inlineStr">
        <is>
          <t>PIPE B36.10/36.19 A333 6-SMLS BE BE</t>
        </is>
      </c>
      <c r="H589" s="20" t="inlineStr">
        <is>
          <t>A333</t>
        </is>
      </c>
      <c r="I589" s="22" t="n">
        <v>2</v>
      </c>
      <c r="J589" s="21" t="inlineStr">
        <is>
          <t>XS</t>
        </is>
      </c>
      <c r="K589" s="20" t="inlineStr">
        <is>
          <t>I64108762</t>
        </is>
      </c>
      <c r="L589" s="22" t="n">
        <v>0.1</v>
      </c>
      <c r="M589" s="20">
        <f>IFERROR(LEFT(B589,SEARCH("_Rev",B589)-1),B589)</f>
        <v/>
      </c>
      <c r="N589" s="20">
        <f>IF(B589="","",IF(ISNUMBER(C589),IF(COUNTIFS($M$3:$M$1026,M589,$C$3:$C$1026,"&gt;"&amp;C589)=0,"CURRENT","SUPERSEDED"),"CURRENT"))</f>
        <v/>
      </c>
      <c r="O589" s="19" t="n"/>
    </row>
    <row r="590">
      <c r="A590" s="19" t="n"/>
      <c r="B590" s="20" t="inlineStr">
        <is>
          <t>4503-XH-DL-4141-4141-1710-JS-01_Rev0</t>
        </is>
      </c>
      <c r="C590" s="21" t="n">
        <v>0</v>
      </c>
      <c r="D590" s="21" t="inlineStr">
        <is>
          <t>14.08.2026</t>
        </is>
      </c>
      <c r="E590" s="20" t="inlineStr">
        <is>
          <t>IFC-ISSUED FOR CONSTRUCTION</t>
        </is>
      </c>
      <c r="F590" s="21" t="n">
        <v>4141</v>
      </c>
      <c r="G590" s="20" t="inlineStr">
        <is>
          <t>PIPE B36.10/36.19 A333 6-SMLS PE PE</t>
        </is>
      </c>
      <c r="H590" s="20" t="inlineStr">
        <is>
          <t>A333</t>
        </is>
      </c>
      <c r="I590" s="22" t="inlineStr">
        <is>
          <t>3/4</t>
        </is>
      </c>
      <c r="J590" s="21" t="inlineStr">
        <is>
          <t>160</t>
        </is>
      </c>
      <c r="K590" s="20" t="inlineStr">
        <is>
          <t>I64108815</t>
        </is>
      </c>
      <c r="L590" s="22" t="n">
        <v>0.1</v>
      </c>
      <c r="M590" s="20">
        <f>IFERROR(LEFT(B590,SEARCH("_Rev",B590)-1),B590)</f>
        <v/>
      </c>
      <c r="N590" s="20">
        <f>IF(B590="","",IF(ISNUMBER(C590),IF(COUNTIFS($M$3:$M$1026,M590,$C$3:$C$1026,"&gt;"&amp;C590)=0,"CURRENT","SUPERSEDED"),"CURRENT"))</f>
        <v/>
      </c>
      <c r="O590" s="19" t="n"/>
    </row>
    <row r="591">
      <c r="A591" s="19" t="n"/>
      <c r="B591" s="20" t="inlineStr">
        <is>
          <t>4503-XH-DL-4141-4141-1710-JS-02_Rev0</t>
        </is>
      </c>
      <c r="C591" s="21" t="n">
        <v>0</v>
      </c>
      <c r="D591" s="21" t="inlineStr">
        <is>
          <t>14.08.2026</t>
        </is>
      </c>
      <c r="E591" s="20" t="inlineStr">
        <is>
          <t>IFC-ISSUED FOR CONSTRUCTION</t>
        </is>
      </c>
      <c r="F591" s="21" t="n">
        <v>4141</v>
      </c>
      <c r="G591" s="20" t="inlineStr">
        <is>
          <t>PIPE B36.10/36.19 A671 CC60 CL.22 S2 BE BE</t>
        </is>
      </c>
      <c r="H591" s="20" t="inlineStr">
        <is>
          <t>A671</t>
        </is>
      </c>
      <c r="I591" s="22" t="n">
        <v>28</v>
      </c>
      <c r="J591" s="21" t="inlineStr">
        <is>
          <t>STD</t>
        </is>
      </c>
      <c r="K591" s="20" t="inlineStr">
        <is>
          <t>I63649228</t>
        </is>
      </c>
      <c r="L591" s="22" t="n">
        <v>3</v>
      </c>
      <c r="M591" s="20">
        <f>IFERROR(LEFT(B591,SEARCH("_Rev",B591)-1),B591)</f>
        <v/>
      </c>
      <c r="N591" s="20">
        <f>IF(B591="","",IF(ISNUMBER(C591),IF(COUNTIFS($M$3:$M$1026,M591,$C$3:$C$1026,"&gt;"&amp;C591)=0,"CURRENT","SUPERSEDED"),"CURRENT"))</f>
        <v/>
      </c>
      <c r="O591" s="19" t="n"/>
    </row>
    <row r="592">
      <c r="A592" s="19" t="n"/>
      <c r="B592" s="20" t="inlineStr">
        <is>
          <t>4503-XH-DL-4141-4141-1710-JS-02_Rev0</t>
        </is>
      </c>
      <c r="C592" s="21" t="n">
        <v>0</v>
      </c>
      <c r="D592" s="21" t="inlineStr">
        <is>
          <t>14.08.2026</t>
        </is>
      </c>
      <c r="E592" s="20" t="inlineStr">
        <is>
          <t>IFC-ISSUED FOR CONSTRUCTION</t>
        </is>
      </c>
      <c r="F592" s="21" t="n">
        <v>4141</v>
      </c>
      <c r="G592" s="20" t="inlineStr">
        <is>
          <t>PIPE B36.10/36.19 A333 6-SMLS BE BE</t>
        </is>
      </c>
      <c r="H592" s="20" t="inlineStr">
        <is>
          <t>A333</t>
        </is>
      </c>
      <c r="I592" s="22" t="n">
        <v>2</v>
      </c>
      <c r="J592" s="21" t="inlineStr">
        <is>
          <t>XS</t>
        </is>
      </c>
      <c r="K592" s="20" t="inlineStr">
        <is>
          <t>I64108762</t>
        </is>
      </c>
      <c r="L592" s="22" t="n">
        <v>0.4</v>
      </c>
      <c r="M592" s="20">
        <f>IFERROR(LEFT(B592,SEARCH("_Rev",B592)-1),B592)</f>
        <v/>
      </c>
      <c r="N592" s="20">
        <f>IF(B592="","",IF(ISNUMBER(C592),IF(COUNTIFS($M$3:$M$1026,M592,$C$3:$C$1026,"&gt;"&amp;C592)=0,"CURRENT","SUPERSEDED"),"CURRENT"))</f>
        <v/>
      </c>
      <c r="O592" s="19" t="n"/>
    </row>
    <row r="593">
      <c r="A593" s="19" t="n"/>
      <c r="B593" s="20" t="inlineStr">
        <is>
          <t>4503-XH-DL-4141-4141-1722-JS-01_Rev0</t>
        </is>
      </c>
      <c r="C593" s="21" t="n">
        <v>0</v>
      </c>
      <c r="D593" s="21" t="inlineStr">
        <is>
          <t>14.08.2026</t>
        </is>
      </c>
      <c r="E593" s="20" t="inlineStr">
        <is>
          <t>IFC-ISSUED FOR CONSTRUCTION</t>
        </is>
      </c>
      <c r="F593" s="21" t="n">
        <v>4141</v>
      </c>
      <c r="G593" s="20" t="inlineStr">
        <is>
          <t>PIPE B36.10/36.19 A671 CC60 CL.22 S2 BE BE</t>
        </is>
      </c>
      <c r="H593" s="20" t="inlineStr">
        <is>
          <t>A671</t>
        </is>
      </c>
      <c r="I593" s="22" t="n">
        <v>30</v>
      </c>
      <c r="J593" s="21" t="inlineStr">
        <is>
          <t>XS</t>
        </is>
      </c>
      <c r="K593" s="20" t="inlineStr">
        <is>
          <t>I65622124</t>
        </is>
      </c>
      <c r="L593" s="22" t="n">
        <v>21</v>
      </c>
      <c r="M593" s="20">
        <f>IFERROR(LEFT(B593,SEARCH("_Rev",B593)-1),B593)</f>
        <v/>
      </c>
      <c r="N593" s="20">
        <f>IF(B593="","",IF(ISNUMBER(C593),IF(COUNTIFS($M$3:$M$1026,M593,$C$3:$C$1026,"&gt;"&amp;C593)=0,"CURRENT","SUPERSEDED"),"CURRENT"))</f>
        <v/>
      </c>
      <c r="O593" s="19" t="n"/>
    </row>
    <row r="594">
      <c r="A594" s="19" t="n"/>
      <c r="B594" s="20" t="inlineStr">
        <is>
          <t>4503-XH-DL-4141-4141-1722-JS-01_Rev0</t>
        </is>
      </c>
      <c r="C594" s="21" t="n">
        <v>0</v>
      </c>
      <c r="D594" s="21" t="inlineStr">
        <is>
          <t>14.08.2026</t>
        </is>
      </c>
      <c r="E594" s="20" t="inlineStr">
        <is>
          <t>IFC-ISSUED FOR CONSTRUCTION</t>
        </is>
      </c>
      <c r="F594" s="21" t="n">
        <v>4141</v>
      </c>
      <c r="G594" s="20" t="inlineStr">
        <is>
          <t>PIPE B36.10/36.19 A333 6-SMLS BE BE</t>
        </is>
      </c>
      <c r="H594" s="20" t="inlineStr">
        <is>
          <t>A333</t>
        </is>
      </c>
      <c r="I594" s="22" t="n">
        <v>2</v>
      </c>
      <c r="J594" s="21" t="inlineStr">
        <is>
          <t>XS</t>
        </is>
      </c>
      <c r="K594" s="20" t="inlineStr">
        <is>
          <t>I64108762</t>
        </is>
      </c>
      <c r="L594" s="22" t="n">
        <v>0.2</v>
      </c>
      <c r="M594" s="20">
        <f>IFERROR(LEFT(B594,SEARCH("_Rev",B594)-1),B594)</f>
        <v/>
      </c>
      <c r="N594" s="20">
        <f>IF(B594="","",IF(ISNUMBER(C594),IF(COUNTIFS($M$3:$M$1026,M594,$C$3:$C$1026,"&gt;"&amp;C594)=0,"CURRENT","SUPERSEDED"),"CURRENT"))</f>
        <v/>
      </c>
      <c r="O594" s="19" t="n"/>
    </row>
    <row r="595">
      <c r="A595" s="19" t="n"/>
      <c r="B595" s="20" t="inlineStr">
        <is>
          <t>4503-XH-DL-4141-4141-1735-JS-02_Rev0</t>
        </is>
      </c>
      <c r="C595" s="21" t="n">
        <v>0</v>
      </c>
      <c r="D595" s="21" t="inlineStr">
        <is>
          <t>14.08.2026</t>
        </is>
      </c>
      <c r="E595" s="20" t="inlineStr">
        <is>
          <t>IFC-ISSUED FOR CONSTRUCTION</t>
        </is>
      </c>
      <c r="F595" s="21" t="n">
        <v>4141</v>
      </c>
      <c r="G595" s="20" t="inlineStr">
        <is>
          <t>PIPE B36.10/36.19 A671 CC60 CL.22 S2 BE BE</t>
        </is>
      </c>
      <c r="H595" s="20" t="inlineStr">
        <is>
          <t>A671</t>
        </is>
      </c>
      <c r="I595" s="22" t="n">
        <v>30</v>
      </c>
      <c r="J595" s="21" t="inlineStr">
        <is>
          <t>XS</t>
        </is>
      </c>
      <c r="K595" s="20" t="inlineStr">
        <is>
          <t>I65622124</t>
        </is>
      </c>
      <c r="L595" s="22" t="n">
        <v>7.5</v>
      </c>
      <c r="M595" s="20">
        <f>IFERROR(LEFT(B595,SEARCH("_Rev",B595)-1),B595)</f>
        <v/>
      </c>
      <c r="N595" s="20">
        <f>IF(B595="","",IF(ISNUMBER(C595),IF(COUNTIFS($M$3:$M$1026,M595,$C$3:$C$1026,"&gt;"&amp;C595)=0,"CURRENT","SUPERSEDED"),"CURRENT"))</f>
        <v/>
      </c>
      <c r="O595" s="19" t="n"/>
    </row>
    <row r="596">
      <c r="A596" s="19" t="n"/>
      <c r="B596" s="20" t="inlineStr">
        <is>
          <t>4503-XH-DL-4141-4141-1735-JS-02_Rev0</t>
        </is>
      </c>
      <c r="C596" s="21" t="n">
        <v>0</v>
      </c>
      <c r="D596" s="21" t="inlineStr">
        <is>
          <t>14.08.2026</t>
        </is>
      </c>
      <c r="E596" s="20" t="inlineStr">
        <is>
          <t>IFC-ISSUED FOR CONSTRUCTION</t>
        </is>
      </c>
      <c r="F596" s="21" t="n">
        <v>4141</v>
      </c>
      <c r="G596" s="20" t="inlineStr">
        <is>
          <t>PIPE B36.10/36.19 A333 6-SMLS BE BE</t>
        </is>
      </c>
      <c r="H596" s="20" t="inlineStr">
        <is>
          <t>A333</t>
        </is>
      </c>
      <c r="I596" s="22" t="n">
        <v>24</v>
      </c>
      <c r="J596" s="21" t="inlineStr">
        <is>
          <t>STD</t>
        </is>
      </c>
      <c r="K596" s="20" t="inlineStr">
        <is>
          <t>I64108759</t>
        </is>
      </c>
      <c r="L596" s="22" t="n">
        <v>7.1</v>
      </c>
      <c r="M596" s="20">
        <f>IFERROR(LEFT(B596,SEARCH("_Rev",B596)-1),B596)</f>
        <v/>
      </c>
      <c r="N596" s="20">
        <f>IF(B596="","",IF(ISNUMBER(C596),IF(COUNTIFS($M$3:$M$1026,M596,$C$3:$C$1026,"&gt;"&amp;C596)=0,"CURRENT","SUPERSEDED"),"CURRENT"))</f>
        <v/>
      </c>
      <c r="O596" s="19" t="n"/>
    </row>
    <row r="597">
      <c r="A597" s="19" t="n"/>
      <c r="B597" s="20" t="inlineStr">
        <is>
          <t>4503-XH-DL-4141-4141-1735-JS-02_Rev0</t>
        </is>
      </c>
      <c r="C597" s="21" t="n">
        <v>0</v>
      </c>
      <c r="D597" s="21" t="inlineStr">
        <is>
          <t>14.08.2026</t>
        </is>
      </c>
      <c r="E597" s="20" t="inlineStr">
        <is>
          <t>IFC-ISSUED FOR CONSTRUCTION</t>
        </is>
      </c>
      <c r="F597" s="21" t="n">
        <v>4141</v>
      </c>
      <c r="G597" s="20" t="inlineStr">
        <is>
          <t>PIPE B36.10/36.19 A333 6-SMLS BE BE</t>
        </is>
      </c>
      <c r="H597" s="20" t="inlineStr">
        <is>
          <t>A333</t>
        </is>
      </c>
      <c r="I597" s="22" t="n">
        <v>2</v>
      </c>
      <c r="J597" s="21" t="inlineStr">
        <is>
          <t>XS</t>
        </is>
      </c>
      <c r="K597" s="20" t="inlineStr">
        <is>
          <t>I64108762</t>
        </is>
      </c>
      <c r="L597" s="22" t="n">
        <v>0.2</v>
      </c>
      <c r="M597" s="20">
        <f>IFERROR(LEFT(B597,SEARCH("_Rev",B597)-1),B597)</f>
        <v/>
      </c>
      <c r="N597" s="20">
        <f>IF(B597="","",IF(ISNUMBER(C597),IF(COUNTIFS($M$3:$M$1026,M597,$C$3:$C$1026,"&gt;"&amp;C597)=0,"CURRENT","SUPERSEDED"),"CURRENT"))</f>
        <v/>
      </c>
      <c r="O597" s="19" t="n"/>
    </row>
    <row r="598">
      <c r="A598" s="19" t="n"/>
      <c r="B598" s="20" t="inlineStr">
        <is>
          <t>4503-XH-DL-4141-4142-2701-JS-01_Rev0</t>
        </is>
      </c>
      <c r="C598" s="21" t="n">
        <v>0</v>
      </c>
      <c r="D598" s="21" t="inlineStr">
        <is>
          <t>14.08.2026</t>
        </is>
      </c>
      <c r="E598" s="20" t="inlineStr">
        <is>
          <t>IFC-ISSUED FOR CONSTRUCTION</t>
        </is>
      </c>
      <c r="F598" s="21" t="n">
        <v>4141</v>
      </c>
      <c r="G598" s="20" t="inlineStr">
        <is>
          <t>PIPE B36.10/36.19 A671 CC60 CL.22 S2 BE BE</t>
        </is>
      </c>
      <c r="H598" s="20" t="inlineStr">
        <is>
          <t>A671</t>
        </is>
      </c>
      <c r="I598" s="22" t="n">
        <v>30</v>
      </c>
      <c r="J598" s="21" t="inlineStr">
        <is>
          <t>XS</t>
        </is>
      </c>
      <c r="K598" s="20" t="inlineStr">
        <is>
          <t>I65622124</t>
        </is>
      </c>
      <c r="L598" s="22" t="n">
        <v>10.5</v>
      </c>
      <c r="M598" s="20">
        <f>IFERROR(LEFT(B598,SEARCH("_Rev",B598)-1),B598)</f>
        <v/>
      </c>
      <c r="N598" s="20">
        <f>IF(B598="","",IF(ISNUMBER(C598),IF(COUNTIFS($M$3:$M$1026,M598,$C$3:$C$1026,"&gt;"&amp;C598)=0,"CURRENT","SUPERSEDED"),"CURRENT"))</f>
        <v/>
      </c>
      <c r="O598" s="19" t="n"/>
    </row>
    <row r="599">
      <c r="A599" s="19" t="n"/>
      <c r="B599" s="20" t="inlineStr">
        <is>
          <t>4503-XH-DL-4141-4142-2702-JS-01_Rev0</t>
        </is>
      </c>
      <c r="C599" s="21" t="n">
        <v>0</v>
      </c>
      <c r="D599" s="21" t="inlineStr">
        <is>
          <t>14.08.2026</t>
        </is>
      </c>
      <c r="E599" s="20" t="inlineStr">
        <is>
          <t>IFC-ISSUED FOR CONSTRUCTION</t>
        </is>
      </c>
      <c r="F599" s="21" t="n">
        <v>4141</v>
      </c>
      <c r="G599" s="20" t="inlineStr">
        <is>
          <t>PIPE B36.10/36.19 A671 CC60 CL.22 S2 BE BE</t>
        </is>
      </c>
      <c r="H599" s="20" t="inlineStr">
        <is>
          <t>A671</t>
        </is>
      </c>
      <c r="I599" s="22" t="n">
        <v>28</v>
      </c>
      <c r="J599" s="21" t="inlineStr">
        <is>
          <t>STD</t>
        </is>
      </c>
      <c r="K599" s="20" t="inlineStr">
        <is>
          <t>I63649228</t>
        </is>
      </c>
      <c r="L599" s="22" t="n">
        <v>7.2</v>
      </c>
      <c r="M599" s="20">
        <f>IFERROR(LEFT(B599,SEARCH("_Rev",B599)-1),B599)</f>
        <v/>
      </c>
      <c r="N599" s="20">
        <f>IF(B599="","",IF(ISNUMBER(C599),IF(COUNTIFS($M$3:$M$1026,M599,$C$3:$C$1026,"&gt;"&amp;C599)=0,"CURRENT","SUPERSEDED"),"CURRENT"))</f>
        <v/>
      </c>
      <c r="O599" s="19" t="n"/>
    </row>
    <row r="600">
      <c r="A600" s="19" t="n"/>
      <c r="B600" s="20" t="inlineStr">
        <is>
          <t>4503-XH-DL-4141-4142-2702-JS-01_Rev0</t>
        </is>
      </c>
      <c r="C600" s="21" t="n">
        <v>0</v>
      </c>
      <c r="D600" s="21" t="inlineStr">
        <is>
          <t>14.08.2026</t>
        </is>
      </c>
      <c r="E600" s="20" t="inlineStr">
        <is>
          <t>IFC-ISSUED FOR CONSTRUCTION</t>
        </is>
      </c>
      <c r="F600" s="21" t="n">
        <v>4141</v>
      </c>
      <c r="G600" s="20" t="inlineStr">
        <is>
          <t>PIPE B36.10/36.19 A333 6-SMLS BE BE</t>
        </is>
      </c>
      <c r="H600" s="20" t="inlineStr">
        <is>
          <t>A333</t>
        </is>
      </c>
      <c r="I600" s="22" t="n">
        <v>2</v>
      </c>
      <c r="J600" s="21" t="inlineStr">
        <is>
          <t>XS</t>
        </is>
      </c>
      <c r="K600" s="20" t="inlineStr">
        <is>
          <t>I64108762</t>
        </is>
      </c>
      <c r="L600" s="22" t="n">
        <v>0.6</v>
      </c>
      <c r="M600" s="20">
        <f>IFERROR(LEFT(B600,SEARCH("_Rev",B600)-1),B600)</f>
        <v/>
      </c>
      <c r="N600" s="20">
        <f>IF(B600="","",IF(ISNUMBER(C600),IF(COUNTIFS($M$3:$M$1026,M600,$C$3:$C$1026,"&gt;"&amp;C600)=0,"CURRENT","SUPERSEDED"),"CURRENT"))</f>
        <v/>
      </c>
      <c r="O600" s="19" t="n"/>
    </row>
    <row r="601">
      <c r="A601" s="19" t="n"/>
      <c r="B601" s="20" t="inlineStr">
        <is>
          <t>4503-XH-DL-4141-4142-2702-JS-01_Rev0</t>
        </is>
      </c>
      <c r="C601" s="21" t="n">
        <v>0</v>
      </c>
      <c r="D601" s="21" t="inlineStr">
        <is>
          <t>14.08.2026</t>
        </is>
      </c>
      <c r="E601" s="20" t="inlineStr">
        <is>
          <t>IFC-ISSUED FOR CONSTRUCTION</t>
        </is>
      </c>
      <c r="F601" s="21" t="n">
        <v>4141</v>
      </c>
      <c r="G601" s="20" t="inlineStr">
        <is>
          <t>PIPE B36.10/36.19 A333 6-SMLS PE PE</t>
        </is>
      </c>
      <c r="H601" s="20" t="inlineStr">
        <is>
          <t>A333</t>
        </is>
      </c>
      <c r="I601" s="22" t="inlineStr">
        <is>
          <t>3/4</t>
        </is>
      </c>
      <c r="J601" s="21" t="inlineStr">
        <is>
          <t>160</t>
        </is>
      </c>
      <c r="K601" s="20" t="inlineStr">
        <is>
          <t>I64108815</t>
        </is>
      </c>
      <c r="L601" s="22" t="n">
        <v>0.1</v>
      </c>
      <c r="M601" s="20">
        <f>IFERROR(LEFT(B601,SEARCH("_Rev",B601)-1),B601)</f>
        <v/>
      </c>
      <c r="N601" s="20">
        <f>IF(B601="","",IF(ISNUMBER(C601),IF(COUNTIFS($M$3:$M$1026,M601,$C$3:$C$1026,"&gt;"&amp;C601)=0,"CURRENT","SUPERSEDED"),"CURRENT"))</f>
        <v/>
      </c>
      <c r="O601" s="19" t="n"/>
    </row>
    <row r="602">
      <c r="A602" s="19" t="n"/>
      <c r="B602" s="20" t="inlineStr">
        <is>
          <t>4503-XH-DL-4141-4142-2703-JS-02_Rev0</t>
        </is>
      </c>
      <c r="C602" s="21" t="n">
        <v>0</v>
      </c>
      <c r="D602" s="21" t="inlineStr">
        <is>
          <t>14.08.2026</t>
        </is>
      </c>
      <c r="E602" s="20" t="inlineStr">
        <is>
          <t>IFC-ISSUED FOR CONSTRUCTION</t>
        </is>
      </c>
      <c r="F602" s="21" t="n">
        <v>4141</v>
      </c>
      <c r="G602" s="20" t="inlineStr">
        <is>
          <t>PIPE B36.10/36.19 A671 CC60 CL.22 S2 BE BE</t>
        </is>
      </c>
      <c r="H602" s="20" t="inlineStr">
        <is>
          <t>A671</t>
        </is>
      </c>
      <c r="I602" s="22" t="n">
        <v>30</v>
      </c>
      <c r="J602" s="21" t="inlineStr">
        <is>
          <t>XS</t>
        </is>
      </c>
      <c r="K602" s="20" t="inlineStr">
        <is>
          <t>I65622124</t>
        </is>
      </c>
      <c r="L602" s="22" t="n">
        <v>7.5</v>
      </c>
      <c r="M602" s="20">
        <f>IFERROR(LEFT(B602,SEARCH("_Rev",B602)-1),B602)</f>
        <v/>
      </c>
      <c r="N602" s="20">
        <f>IF(B602="","",IF(ISNUMBER(C602),IF(COUNTIFS($M$3:$M$1026,M602,$C$3:$C$1026,"&gt;"&amp;C602)=0,"CURRENT","SUPERSEDED"),"CURRENT"))</f>
        <v/>
      </c>
      <c r="O602" s="19" t="n"/>
    </row>
    <row r="603">
      <c r="A603" s="19" t="n"/>
      <c r="B603" s="20" t="inlineStr">
        <is>
          <t>4503-XH-DL-4141-4142-2703-JS-02_Rev0</t>
        </is>
      </c>
      <c r="C603" s="21" t="n">
        <v>0</v>
      </c>
      <c r="D603" s="21" t="inlineStr">
        <is>
          <t>14.08.2026</t>
        </is>
      </c>
      <c r="E603" s="20" t="inlineStr">
        <is>
          <t>IFC-ISSUED FOR CONSTRUCTION</t>
        </is>
      </c>
      <c r="F603" s="21" t="n">
        <v>4141</v>
      </c>
      <c r="G603" s="20" t="inlineStr">
        <is>
          <t>PIPE B36.10/36.19 A333 6-SMLS BE BE</t>
        </is>
      </c>
      <c r="H603" s="20" t="inlineStr">
        <is>
          <t>A333</t>
        </is>
      </c>
      <c r="I603" s="22" t="n">
        <v>24</v>
      </c>
      <c r="J603" s="21" t="inlineStr">
        <is>
          <t>STD</t>
        </is>
      </c>
      <c r="K603" s="20" t="inlineStr">
        <is>
          <t>I64108759</t>
        </is>
      </c>
      <c r="L603" s="22" t="n">
        <v>7.1</v>
      </c>
      <c r="M603" s="20">
        <f>IFERROR(LEFT(B603,SEARCH("_Rev",B603)-1),B603)</f>
        <v/>
      </c>
      <c r="N603" s="20">
        <f>IF(B603="","",IF(ISNUMBER(C603),IF(COUNTIFS($M$3:$M$1026,M603,$C$3:$C$1026,"&gt;"&amp;C603)=0,"CURRENT","SUPERSEDED"),"CURRENT"))</f>
        <v/>
      </c>
      <c r="O603" s="19" t="n"/>
    </row>
    <row r="604">
      <c r="A604" s="19" t="n"/>
      <c r="B604" s="20" t="inlineStr">
        <is>
          <t>4503-XH-DL-4141-4142-2703-JS-02_Rev0</t>
        </is>
      </c>
      <c r="C604" s="21" t="n">
        <v>0</v>
      </c>
      <c r="D604" s="21" t="inlineStr">
        <is>
          <t>14.08.2026</t>
        </is>
      </c>
      <c r="E604" s="20" t="inlineStr">
        <is>
          <t>IFC-ISSUED FOR CONSTRUCTION</t>
        </is>
      </c>
      <c r="F604" s="21" t="n">
        <v>4141</v>
      </c>
      <c r="G604" s="20" t="inlineStr">
        <is>
          <t>PIPE B36.10/36.19 A333 6-SMLS BE BE</t>
        </is>
      </c>
      <c r="H604" s="20" t="inlineStr">
        <is>
          <t>A333</t>
        </is>
      </c>
      <c r="I604" s="22" t="n">
        <v>2</v>
      </c>
      <c r="J604" s="21" t="inlineStr">
        <is>
          <t>XS</t>
        </is>
      </c>
      <c r="K604" s="20" t="inlineStr">
        <is>
          <t>I64108762</t>
        </is>
      </c>
      <c r="L604" s="22" t="n">
        <v>0.2</v>
      </c>
      <c r="M604" s="20">
        <f>IFERROR(LEFT(B604,SEARCH("_Rev",B604)-1),B604)</f>
        <v/>
      </c>
      <c r="N604" s="20">
        <f>IF(B604="","",IF(ISNUMBER(C604),IF(COUNTIFS($M$3:$M$1026,M604,$C$3:$C$1026,"&gt;"&amp;C604)=0,"CURRENT","SUPERSEDED"),"CURRENT"))</f>
        <v/>
      </c>
      <c r="O604" s="19" t="n"/>
    </row>
    <row r="605">
      <c r="A605" s="19" t="n"/>
      <c r="B605" s="20" t="inlineStr">
        <is>
          <t>4503-XH-DL-4141-4142-2712-JS-01_Rev0</t>
        </is>
      </c>
      <c r="C605" s="21" t="n">
        <v>0</v>
      </c>
      <c r="D605" s="21" t="inlineStr">
        <is>
          <t>14.08.2026</t>
        </is>
      </c>
      <c r="E605" s="20" t="inlineStr">
        <is>
          <t>IFC-ISSUED FOR CONSTRUCTION</t>
        </is>
      </c>
      <c r="F605" s="21" t="n">
        <v>4141</v>
      </c>
      <c r="G605" s="20" t="inlineStr">
        <is>
          <t>PIPE B36.10/36.19 A671 CC60 CL.22 S2 BE BE</t>
        </is>
      </c>
      <c r="H605" s="20" t="inlineStr">
        <is>
          <t>A671</t>
        </is>
      </c>
      <c r="I605" s="22" t="n">
        <v>28</v>
      </c>
      <c r="J605" s="21" t="inlineStr">
        <is>
          <t>STD</t>
        </is>
      </c>
      <c r="K605" s="20" t="inlineStr">
        <is>
          <t>I63649228</t>
        </is>
      </c>
      <c r="L605" s="22" t="n">
        <v>1.7</v>
      </c>
      <c r="M605" s="20">
        <f>IFERROR(LEFT(B605,SEARCH("_Rev",B605)-1),B605)</f>
        <v/>
      </c>
      <c r="N605" s="20">
        <f>IF(B605="","",IF(ISNUMBER(C605),IF(COUNTIFS($M$3:$M$1026,M605,$C$3:$C$1026,"&gt;"&amp;C605)=0,"CURRENT","SUPERSEDED"),"CURRENT"))</f>
        <v/>
      </c>
      <c r="O605" s="19" t="n"/>
    </row>
    <row r="606">
      <c r="A606" s="19" t="n"/>
      <c r="B606" s="20" t="inlineStr">
        <is>
          <t>4503-XH-DL-4141-4142-2712-JS-01_Rev0</t>
        </is>
      </c>
      <c r="C606" s="21" t="n">
        <v>0</v>
      </c>
      <c r="D606" s="21" t="inlineStr">
        <is>
          <t>14.08.2026</t>
        </is>
      </c>
      <c r="E606" s="20" t="inlineStr">
        <is>
          <t>IFC-ISSUED FOR CONSTRUCTION</t>
        </is>
      </c>
      <c r="F606" s="21" t="n">
        <v>4141</v>
      </c>
      <c r="G606" s="20" t="inlineStr">
        <is>
          <t>PIPE B36.10/36.19 A333 6-SMLS PE PE</t>
        </is>
      </c>
      <c r="H606" s="20" t="inlineStr">
        <is>
          <t>A333</t>
        </is>
      </c>
      <c r="I606" s="22" t="inlineStr">
        <is>
          <t>3/4</t>
        </is>
      </c>
      <c r="J606" s="21" t="inlineStr">
        <is>
          <t>160</t>
        </is>
      </c>
      <c r="K606" s="20" t="inlineStr">
        <is>
          <t>I64108815</t>
        </is>
      </c>
      <c r="L606" s="22" t="n">
        <v>0.2</v>
      </c>
      <c r="M606" s="20">
        <f>IFERROR(LEFT(B606,SEARCH("_Rev",B606)-1),B606)</f>
        <v/>
      </c>
      <c r="N606" s="20">
        <f>IF(B606="","",IF(ISNUMBER(C606),IF(COUNTIFS($M$3:$M$1026,M606,$C$3:$C$1026,"&gt;"&amp;C606)=0,"CURRENT","SUPERSEDED"),"CURRENT"))</f>
        <v/>
      </c>
      <c r="O606" s="19" t="n"/>
    </row>
    <row r="607">
      <c r="A607" s="19" t="n"/>
      <c r="B607" s="20" t="inlineStr">
        <is>
          <t>4503-XH-DL-4141-4142-2712-JS-02_Rev0</t>
        </is>
      </c>
      <c r="C607" s="21" t="n">
        <v>0</v>
      </c>
      <c r="D607" s="21" t="inlineStr">
        <is>
          <t>14.08.2026</t>
        </is>
      </c>
      <c r="E607" s="20" t="inlineStr">
        <is>
          <t>IFC-ISSUED FOR CONSTRUCTION</t>
        </is>
      </c>
      <c r="F607" s="21" t="n">
        <v>4141</v>
      </c>
      <c r="G607" s="20" t="inlineStr">
        <is>
          <t>PIPE B36.10/36.19 A671 CC60 CL.22 S2 BE BE</t>
        </is>
      </c>
      <c r="H607" s="20" t="inlineStr">
        <is>
          <t>A671</t>
        </is>
      </c>
      <c r="I607" s="22" t="n">
        <v>28</v>
      </c>
      <c r="J607" s="21" t="inlineStr">
        <is>
          <t>STD</t>
        </is>
      </c>
      <c r="K607" s="20" t="inlineStr">
        <is>
          <t>I63649228</t>
        </is>
      </c>
      <c r="L607" s="22" t="n">
        <v>0.5</v>
      </c>
      <c r="M607" s="20">
        <f>IFERROR(LEFT(B607,SEARCH("_Rev",B607)-1),B607)</f>
        <v/>
      </c>
      <c r="N607" s="20">
        <f>IF(B607="","",IF(ISNUMBER(C607),IF(COUNTIFS($M$3:$M$1026,M607,$C$3:$C$1026,"&gt;"&amp;C607)=0,"CURRENT","SUPERSEDED"),"CURRENT"))</f>
        <v/>
      </c>
      <c r="O607" s="19" t="n"/>
    </row>
    <row r="608">
      <c r="A608" s="19" t="n"/>
      <c r="B608" s="20" t="inlineStr">
        <is>
          <t>4503-XH-DL-4141-4142-2712-JS-02_Rev0</t>
        </is>
      </c>
      <c r="C608" s="21" t="n">
        <v>0</v>
      </c>
      <c r="D608" s="21" t="inlineStr">
        <is>
          <t>14.08.2026</t>
        </is>
      </c>
      <c r="E608" s="20" t="inlineStr">
        <is>
          <t>IFC-ISSUED FOR CONSTRUCTION</t>
        </is>
      </c>
      <c r="F608" s="21" t="n">
        <v>4141</v>
      </c>
      <c r="G608" s="20" t="inlineStr">
        <is>
          <t>PIPE B36.10/36.19 A333 6-SMLS BE BE</t>
        </is>
      </c>
      <c r="H608" s="20" t="inlineStr">
        <is>
          <t>A333</t>
        </is>
      </c>
      <c r="I608" s="22" t="n">
        <v>2</v>
      </c>
      <c r="J608" s="21" t="inlineStr">
        <is>
          <t>XS</t>
        </is>
      </c>
      <c r="K608" s="20" t="inlineStr">
        <is>
          <t>I64108762</t>
        </is>
      </c>
      <c r="L608" s="22" t="n">
        <v>0.1</v>
      </c>
      <c r="M608" s="20">
        <f>IFERROR(LEFT(B608,SEARCH("_Rev",B608)-1),B608)</f>
        <v/>
      </c>
      <c r="N608" s="20">
        <f>IF(B608="","",IF(ISNUMBER(C608),IF(COUNTIFS($M$3:$M$1026,M608,$C$3:$C$1026,"&gt;"&amp;C608)=0,"CURRENT","SUPERSEDED"),"CURRENT"))</f>
        <v/>
      </c>
      <c r="O608" s="19" t="n"/>
    </row>
    <row r="609">
      <c r="A609" s="19" t="n"/>
      <c r="B609" s="20" t="inlineStr">
        <is>
          <t>4503-XH-DL-4141-4142-2712-JS-03_Rev0</t>
        </is>
      </c>
      <c r="C609" s="21" t="n">
        <v>0</v>
      </c>
      <c r="D609" s="21" t="inlineStr">
        <is>
          <t>14.08.2026</t>
        </is>
      </c>
      <c r="E609" s="20" t="inlineStr">
        <is>
          <t>IFC-ISSUED FOR CONSTRUCTION</t>
        </is>
      </c>
      <c r="F609" s="21" t="n">
        <v>4141</v>
      </c>
      <c r="G609" s="20" t="inlineStr">
        <is>
          <t>PIPE B36.10/36.19 A671 CC60 CL.22 S2 BE BE</t>
        </is>
      </c>
      <c r="H609" s="20" t="inlineStr">
        <is>
          <t>A671</t>
        </is>
      </c>
      <c r="I609" s="22" t="n">
        <v>28</v>
      </c>
      <c r="J609" s="21" t="inlineStr">
        <is>
          <t>STD</t>
        </is>
      </c>
      <c r="K609" s="20" t="inlineStr">
        <is>
          <t>I63649228</t>
        </is>
      </c>
      <c r="L609" s="22" t="n">
        <v>3.4</v>
      </c>
      <c r="M609" s="20">
        <f>IFERROR(LEFT(B609,SEARCH("_Rev",B609)-1),B609)</f>
        <v/>
      </c>
      <c r="N609" s="20">
        <f>IF(B609="","",IF(ISNUMBER(C609),IF(COUNTIFS($M$3:$M$1026,M609,$C$3:$C$1026,"&gt;"&amp;C609)=0,"CURRENT","SUPERSEDED"),"CURRENT"))</f>
        <v/>
      </c>
      <c r="O609" s="19" t="n"/>
    </row>
    <row r="610">
      <c r="A610" s="19" t="n"/>
      <c r="B610" s="20" t="inlineStr">
        <is>
          <t>4503-XH-DL-4141-4142-2712-JS-03_Rev0</t>
        </is>
      </c>
      <c r="C610" s="21" t="n">
        <v>0</v>
      </c>
      <c r="D610" s="21" t="inlineStr">
        <is>
          <t>14.08.2026</t>
        </is>
      </c>
      <c r="E610" s="20" t="inlineStr">
        <is>
          <t>IFC-ISSUED FOR CONSTRUCTION</t>
        </is>
      </c>
      <c r="F610" s="21" t="n">
        <v>4141</v>
      </c>
      <c r="G610" s="20" t="inlineStr">
        <is>
          <t>PIPE B36.10/36.19 A333 6-SMLS BE BE</t>
        </is>
      </c>
      <c r="H610" s="20" t="inlineStr">
        <is>
          <t>A333</t>
        </is>
      </c>
      <c r="I610" s="22" t="n">
        <v>2</v>
      </c>
      <c r="J610" s="21" t="inlineStr">
        <is>
          <t>XS</t>
        </is>
      </c>
      <c r="K610" s="20" t="inlineStr">
        <is>
          <t>I64108762</t>
        </is>
      </c>
      <c r="L610" s="22" t="n">
        <v>0.4</v>
      </c>
      <c r="M610" s="20">
        <f>IFERROR(LEFT(B610,SEARCH("_Rev",B610)-1),B610)</f>
        <v/>
      </c>
      <c r="N610" s="20">
        <f>IF(B610="","",IF(ISNUMBER(C610),IF(COUNTIFS($M$3:$M$1026,M610,$C$3:$C$1026,"&gt;"&amp;C610)=0,"CURRENT","SUPERSEDED"),"CURRENT"))</f>
        <v/>
      </c>
      <c r="O610" s="19" t="n"/>
    </row>
    <row r="611">
      <c r="A611" s="19" t="n"/>
      <c r="B611" s="20" t="inlineStr">
        <is>
          <t>4503-XH-DL-4141-4142-2723-JS-01_Rev0</t>
        </is>
      </c>
      <c r="C611" s="21" t="n">
        <v>0</v>
      </c>
      <c r="D611" s="21" t="inlineStr">
        <is>
          <t>14.08.2026</t>
        </is>
      </c>
      <c r="E611" s="20" t="inlineStr">
        <is>
          <t>IFC-ISSUED FOR CONSTRUCTION</t>
        </is>
      </c>
      <c r="F611" s="21" t="n">
        <v>4141</v>
      </c>
      <c r="G611" s="20" t="inlineStr">
        <is>
          <t>PIPE B36.10/36.19 A671 CC60 CL.22 S2 BE BE</t>
        </is>
      </c>
      <c r="H611" s="20" t="inlineStr">
        <is>
          <t>A671</t>
        </is>
      </c>
      <c r="I611" s="22" t="n">
        <v>30</v>
      </c>
      <c r="J611" s="21" t="inlineStr">
        <is>
          <t>XS</t>
        </is>
      </c>
      <c r="K611" s="20" t="inlineStr">
        <is>
          <t>I65622124</t>
        </is>
      </c>
      <c r="L611" s="22" t="n">
        <v>21</v>
      </c>
      <c r="M611" s="20">
        <f>IFERROR(LEFT(B611,SEARCH("_Rev",B611)-1),B611)</f>
        <v/>
      </c>
      <c r="N611" s="20">
        <f>IF(B611="","",IF(ISNUMBER(C611),IF(COUNTIFS($M$3:$M$1026,M611,$C$3:$C$1026,"&gt;"&amp;C611)=0,"CURRENT","SUPERSEDED"),"CURRENT"))</f>
        <v/>
      </c>
      <c r="O611" s="19" t="n"/>
    </row>
    <row r="612">
      <c r="A612" s="19" t="n"/>
      <c r="B612" s="20" t="inlineStr">
        <is>
          <t>4503-XH-DL-4141-4142-2723-JS-01_Rev0</t>
        </is>
      </c>
      <c r="C612" s="21" t="n">
        <v>0</v>
      </c>
      <c r="D612" s="21" t="inlineStr">
        <is>
          <t>14.08.2026</t>
        </is>
      </c>
      <c r="E612" s="20" t="inlineStr">
        <is>
          <t>IFC-ISSUED FOR CONSTRUCTION</t>
        </is>
      </c>
      <c r="F612" s="21" t="n">
        <v>4141</v>
      </c>
      <c r="G612" s="20" t="inlineStr">
        <is>
          <t>PIPE B36.10/36.19 A333 6-SMLS BE BE</t>
        </is>
      </c>
      <c r="H612" s="20" t="inlineStr">
        <is>
          <t>A333</t>
        </is>
      </c>
      <c r="I612" s="22" t="n">
        <v>2</v>
      </c>
      <c r="J612" s="21" t="inlineStr">
        <is>
          <t>XS</t>
        </is>
      </c>
      <c r="K612" s="20" t="inlineStr">
        <is>
          <t>I64108762</t>
        </is>
      </c>
      <c r="L612" s="22" t="n">
        <v>0.2</v>
      </c>
      <c r="M612" s="20">
        <f>IFERROR(LEFT(B612,SEARCH("_Rev",B612)-1),B612)</f>
        <v/>
      </c>
      <c r="N612" s="20">
        <f>IF(B612="","",IF(ISNUMBER(C612),IF(COUNTIFS($M$3:$M$1026,M612,$C$3:$C$1026,"&gt;"&amp;C612)=0,"CURRENT","SUPERSEDED"),"CURRENT"))</f>
        <v/>
      </c>
      <c r="O612" s="19" t="n"/>
    </row>
    <row r="613">
      <c r="A613" s="19" t="n"/>
      <c r="B613" s="20" t="inlineStr">
        <is>
          <t>4503-XH-DL-6190-6121-5167-ETH-02_Rev0</t>
        </is>
      </c>
      <c r="C613" s="21" t="n">
        <v>0</v>
      </c>
      <c r="D613" s="21" t="inlineStr">
        <is>
          <t>07.08.2026</t>
        </is>
      </c>
      <c r="E613" s="20" t="inlineStr">
        <is>
          <t>IFC - ISSUED FOR CONSTRUCTION</t>
        </is>
      </c>
      <c r="F613" s="21" t="n">
        <v>6190</v>
      </c>
      <c r="G613" s="20" t="inlineStr">
        <is>
          <t>PIPE B36.10/36.19 A333 6-SMLS BE BE</t>
        </is>
      </c>
      <c r="H613" s="20" t="inlineStr">
        <is>
          <t>A333</t>
        </is>
      </c>
      <c r="I613" s="22" t="n">
        <v>12</v>
      </c>
      <c r="J613" s="21" t="inlineStr">
        <is>
          <t>STD</t>
        </is>
      </c>
      <c r="K613" s="20" t="inlineStr">
        <is>
          <t>I64955933</t>
        </is>
      </c>
      <c r="L613" s="22" t="n">
        <v>20.4</v>
      </c>
      <c r="M613" s="20">
        <f>IFERROR(LEFT(B613,SEARCH("_Rev",B613)-1),B613)</f>
        <v/>
      </c>
      <c r="N613" s="20">
        <f>IF(B613="","",IF(ISNUMBER(C613),IF(COUNTIFS($M$3:$M$1026,M613,$C$3:$C$1026,"&gt;"&amp;C613)=0,"CURRENT","SUPERSEDED"),"CURRENT"))</f>
        <v/>
      </c>
      <c r="O613" s="19" t="n"/>
    </row>
    <row r="614">
      <c r="A614" s="19" t="n"/>
      <c r="B614" s="20" t="inlineStr">
        <is>
          <t>4503-XH-DL-6190-6121-5167-ETH-03_Rev0</t>
        </is>
      </c>
      <c r="C614" s="21" t="n">
        <v>0</v>
      </c>
      <c r="D614" s="21" t="inlineStr">
        <is>
          <t>07.08.2026</t>
        </is>
      </c>
      <c r="E614" s="20" t="inlineStr">
        <is>
          <t>IFC - ISSUED FOR CONSTRUCTION</t>
        </is>
      </c>
      <c r="F614" s="21" t="n">
        <v>6190</v>
      </c>
      <c r="G614" s="20" t="inlineStr">
        <is>
          <t>PIPE B36.10/36.19 A333 6-SMLS BE BE</t>
        </is>
      </c>
      <c r="H614" s="20" t="inlineStr">
        <is>
          <t>A333</t>
        </is>
      </c>
      <c r="I614" s="22" t="n">
        <v>12</v>
      </c>
      <c r="J614" s="21" t="inlineStr">
        <is>
          <t>STD</t>
        </is>
      </c>
      <c r="K614" s="20" t="inlineStr">
        <is>
          <t>I64955933</t>
        </is>
      </c>
      <c r="L614" s="22" t="n">
        <v>41.3</v>
      </c>
      <c r="M614" s="20">
        <f>IFERROR(LEFT(B614,SEARCH("_Rev",B614)-1),B614)</f>
        <v/>
      </c>
      <c r="N614" s="20">
        <f>IF(B614="","",IF(ISNUMBER(C614),IF(COUNTIFS($M$3:$M$1026,M614,$C$3:$C$1026,"&gt;"&amp;C614)=0,"CURRENT","SUPERSEDED"),"CURRENT"))</f>
        <v/>
      </c>
      <c r="O614" s="19" t="n"/>
    </row>
    <row r="615">
      <c r="A615" s="19" t="n"/>
      <c r="B615" s="20" t="inlineStr">
        <is>
          <t>4503-XH-DL-6190-6121-5167-ETH-04_Rev0</t>
        </is>
      </c>
      <c r="C615" s="21" t="n">
        <v>0</v>
      </c>
      <c r="D615" s="21" t="inlineStr">
        <is>
          <t>07.08.2026</t>
        </is>
      </c>
      <c r="E615" s="20" t="inlineStr">
        <is>
          <t>IFC - ISSUED FOR CONSTRUCTION</t>
        </is>
      </c>
      <c r="F615" s="21" t="n">
        <v>6190</v>
      </c>
      <c r="G615" s="20" t="inlineStr">
        <is>
          <t>PIPE B36.10/36.19 A333 6-SMLS BE BE</t>
        </is>
      </c>
      <c r="H615" s="20" t="inlineStr">
        <is>
          <t>A333</t>
        </is>
      </c>
      <c r="I615" s="22" t="n">
        <v>12</v>
      </c>
      <c r="J615" s="21" t="inlineStr">
        <is>
          <t>STD</t>
        </is>
      </c>
      <c r="K615" s="20" t="inlineStr">
        <is>
          <t>I64955933</t>
        </is>
      </c>
      <c r="L615" s="22" t="n">
        <v>18.4</v>
      </c>
      <c r="M615" s="20">
        <f>IFERROR(LEFT(B615,SEARCH("_Rev",B615)-1),B615)</f>
        <v/>
      </c>
      <c r="N615" s="20">
        <f>IF(B615="","",IF(ISNUMBER(C615),IF(COUNTIFS($M$3:$M$1026,M615,$C$3:$C$1026,"&gt;"&amp;C615)=0,"CURRENT","SUPERSEDED"),"CURRENT"))</f>
        <v/>
      </c>
      <c r="O615" s="19" t="n"/>
    </row>
    <row r="616">
      <c r="A616" s="19" t="n"/>
      <c r="B616" s="20" t="inlineStr">
        <is>
          <t>4503-XH-DL-6190-6121-5169-ETH-02_Rev0</t>
        </is>
      </c>
      <c r="C616" s="21" t="n">
        <v>0</v>
      </c>
      <c r="D616" s="21" t="inlineStr">
        <is>
          <t>07.08.2026</t>
        </is>
      </c>
      <c r="E616" s="20" t="inlineStr">
        <is>
          <t>IFC - ISSUED FOR CONSTRUCTION</t>
        </is>
      </c>
      <c r="F616" s="21" t="n">
        <v>6190</v>
      </c>
      <c r="G616" s="20" t="inlineStr">
        <is>
          <t>PIPE B36.10/36.19 A333 6-SMLS BE BE</t>
        </is>
      </c>
      <c r="H616" s="20" t="inlineStr">
        <is>
          <t>A333</t>
        </is>
      </c>
      <c r="I616" s="22" t="n">
        <v>4</v>
      </c>
      <c r="J616" s="21" t="inlineStr">
        <is>
          <t>STD</t>
        </is>
      </c>
      <c r="K616" s="20" t="inlineStr">
        <is>
          <t>I63649186</t>
        </is>
      </c>
      <c r="L616" s="22" t="n">
        <v>17.9</v>
      </c>
      <c r="M616" s="20">
        <f>IFERROR(LEFT(B616,SEARCH("_Rev",B616)-1),B616)</f>
        <v/>
      </c>
      <c r="N616" s="20">
        <f>IF(B616="","",IF(ISNUMBER(C616),IF(COUNTIFS($M$3:$M$1026,M616,$C$3:$C$1026,"&gt;"&amp;C616)=0,"CURRENT","SUPERSEDED"),"CURRENT"))</f>
        <v/>
      </c>
      <c r="O616" s="19" t="n"/>
    </row>
    <row r="617">
      <c r="A617" s="19" t="n"/>
      <c r="B617" s="20" t="inlineStr">
        <is>
          <t>4503-XH-DL-6190-6121-5169-ETH-03_Rev0</t>
        </is>
      </c>
      <c r="C617" s="21" t="n">
        <v>0</v>
      </c>
      <c r="D617" s="21" t="n">
        <v>46241</v>
      </c>
      <c r="E617" s="20" t="inlineStr">
        <is>
          <t>IFC - ISSUED FOR CONSTRUCTION</t>
        </is>
      </c>
      <c r="F617" s="21" t="n">
        <v>6190</v>
      </c>
      <c r="G617" s="20" t="inlineStr">
        <is>
          <t>PIPE B36.10/36.19 A333 6-SMLS BE BE</t>
        </is>
      </c>
      <c r="H617" s="20" t="inlineStr">
        <is>
          <t>A333</t>
        </is>
      </c>
      <c r="I617" s="22" t="n">
        <v>4</v>
      </c>
      <c r="J617" s="21" t="inlineStr">
        <is>
          <t>STD</t>
        </is>
      </c>
      <c r="K617" s="20" t="inlineStr">
        <is>
          <t>I63649186</t>
        </is>
      </c>
      <c r="L617" s="22" t="n">
        <v>0.7</v>
      </c>
      <c r="M617" s="20">
        <f>IFERROR(LEFT(B617,SEARCH("_Rev",B617)-1),B617)</f>
        <v/>
      </c>
      <c r="N617" s="20">
        <f>IF(B617="","",IF(ISNUMBER(C617),IF(COUNTIFS($M$3:$M$1026,M617,$C$3:$C$1026,"&gt;"&amp;C617)=0,"CURRENT","SUPERSEDED"),"CURRENT"))</f>
        <v/>
      </c>
      <c r="O617" s="19" t="n"/>
    </row>
    <row r="618">
      <c r="A618" s="19" t="n"/>
      <c r="B618" s="20" t="inlineStr">
        <is>
          <t>4503-XH-DL-6190-6199-0008-HE-04_Rev0</t>
        </is>
      </c>
      <c r="C618" s="21" t="n">
        <v>0</v>
      </c>
      <c r="D618" s="21" t="inlineStr">
        <is>
          <t>07.08.2026</t>
        </is>
      </c>
      <c r="E618" s="20" t="inlineStr">
        <is>
          <t>IFC - ISSUED FOR CONSTRUCTION</t>
        </is>
      </c>
      <c r="F618" s="21" t="n">
        <v>6190</v>
      </c>
      <c r="G618" s="20" t="inlineStr">
        <is>
          <t>PIPE B36.10/36.19 A333 6-SMLS BE BE</t>
        </is>
      </c>
      <c r="H618" s="20" t="inlineStr">
        <is>
          <t>A333</t>
        </is>
      </c>
      <c r="I618" s="22" t="n">
        <v>3</v>
      </c>
      <c r="J618" s="21" t="inlineStr">
        <is>
          <t>STD</t>
        </is>
      </c>
      <c r="K618" s="20" t="inlineStr">
        <is>
          <t>I63649171</t>
        </is>
      </c>
      <c r="L618" s="22" t="n">
        <v>29.7</v>
      </c>
      <c r="M618" s="20">
        <f>IFERROR(LEFT(B618,SEARCH("_Rev",B618)-1),B618)</f>
        <v/>
      </c>
      <c r="N618" s="20">
        <f>IF(B618="","",IF(ISNUMBER(C618),IF(COUNTIFS($M$3:$M$1026,M618,$C$3:$C$1026,"&gt;"&amp;C618)=0,"CURRENT","SUPERSEDED"),"CURRENT"))</f>
        <v/>
      </c>
      <c r="O618" s="19" t="n"/>
    </row>
    <row r="619">
      <c r="A619" s="19" t="n"/>
      <c r="B619" s="20" t="inlineStr">
        <is>
          <t>4503-XH-DL-6190-6199-0008-HE-05_Rev0</t>
        </is>
      </c>
      <c r="C619" s="21" t="n">
        <v>0</v>
      </c>
      <c r="D619" s="21" t="inlineStr">
        <is>
          <t>07.08.2026</t>
        </is>
      </c>
      <c r="E619" s="20" t="inlineStr">
        <is>
          <t>IFC - ISSUED FOR CONSTRUCTION</t>
        </is>
      </c>
      <c r="F619" s="21" t="n">
        <v>6190</v>
      </c>
      <c r="G619" s="20" t="inlineStr">
        <is>
          <t>PIPE B36.10/36.19 A333 6-SMLS BE BE</t>
        </is>
      </c>
      <c r="H619" s="20" t="inlineStr">
        <is>
          <t>A333</t>
        </is>
      </c>
      <c r="I619" s="22" t="n">
        <v>3</v>
      </c>
      <c r="J619" s="21" t="inlineStr">
        <is>
          <t>STD</t>
        </is>
      </c>
      <c r="K619" s="20" t="inlineStr">
        <is>
          <t>I63649171</t>
        </is>
      </c>
      <c r="L619" s="22" t="n">
        <v>19.4</v>
      </c>
      <c r="M619" s="20">
        <f>IFERROR(LEFT(B619,SEARCH("_Rev",B619)-1),B619)</f>
        <v/>
      </c>
      <c r="N619" s="20">
        <f>IF(B619="","",IF(ISNUMBER(C619),IF(COUNTIFS($M$3:$M$1026,M619,$C$3:$C$1026,"&gt;"&amp;C619)=0,"CURRENT","SUPERSEDED"),"CURRENT"))</f>
        <v/>
      </c>
      <c r="O619" s="19" t="n"/>
    </row>
    <row r="620">
      <c r="A620" s="19" t="n"/>
      <c r="B620" s="20" t="inlineStr">
        <is>
          <t>4503-XH-DL-6190-6199-0008-HE-06_Rev0</t>
        </is>
      </c>
      <c r="C620" s="21" t="n">
        <v>0</v>
      </c>
      <c r="D620" s="21" t="inlineStr">
        <is>
          <t>07.08.2026</t>
        </is>
      </c>
      <c r="E620" s="20" t="inlineStr">
        <is>
          <t>IFC - ISSUED FOR CONSTRUCTION</t>
        </is>
      </c>
      <c r="F620" s="21" t="n">
        <v>6190</v>
      </c>
      <c r="G620" s="20" t="inlineStr">
        <is>
          <t>PIPE B36.10/36.19 A333 6-SMLS BE BE</t>
        </is>
      </c>
      <c r="H620" s="20" t="inlineStr">
        <is>
          <t>A333</t>
        </is>
      </c>
      <c r="I620" s="22" t="n">
        <v>3</v>
      </c>
      <c r="J620" s="21" t="inlineStr">
        <is>
          <t>STD</t>
        </is>
      </c>
      <c r="K620" s="20" t="inlineStr">
        <is>
          <t>I63649171</t>
        </is>
      </c>
      <c r="L620" s="22" t="n">
        <v>47</v>
      </c>
      <c r="M620" s="20">
        <f>IFERROR(LEFT(B620,SEARCH("_Rev",B620)-1),B620)</f>
        <v/>
      </c>
      <c r="N620" s="20">
        <f>IF(B620="","",IF(ISNUMBER(C620),IF(COUNTIFS($M$3:$M$1026,M620,$C$3:$C$1026,"&gt;"&amp;C620)=0,"CURRENT","SUPERSEDED"),"CURRENT"))</f>
        <v/>
      </c>
      <c r="O620" s="19" t="n"/>
    </row>
    <row r="621">
      <c r="A621" s="19" t="n"/>
      <c r="B621" s="20" t="inlineStr">
        <is>
          <t>4503-XH-DL-6190-6199-0008-HE-07_Rev0</t>
        </is>
      </c>
      <c r="C621" s="21" t="n">
        <v>0</v>
      </c>
      <c r="D621" s="21" t="inlineStr">
        <is>
          <t>07.08.2026</t>
        </is>
      </c>
      <c r="E621" s="20" t="inlineStr">
        <is>
          <t>IFC - ISSUED FOR CONSTRUCTION</t>
        </is>
      </c>
      <c r="F621" s="21" t="n">
        <v>6190</v>
      </c>
      <c r="G621" s="20" t="inlineStr">
        <is>
          <t>PIPE B36.10/36.19 A333 6-SMLS BE BE</t>
        </is>
      </c>
      <c r="H621" s="20" t="inlineStr">
        <is>
          <t>A333</t>
        </is>
      </c>
      <c r="I621" s="22" t="n">
        <v>3</v>
      </c>
      <c r="J621" s="21" t="inlineStr">
        <is>
          <t>STD</t>
        </is>
      </c>
      <c r="K621" s="20" t="inlineStr">
        <is>
          <t>I63649171</t>
        </is>
      </c>
      <c r="L621" s="22" t="n">
        <v>47.4</v>
      </c>
      <c r="M621" s="20">
        <f>IFERROR(LEFT(B621,SEARCH("_Rev",B621)-1),B621)</f>
        <v/>
      </c>
      <c r="N621" s="20">
        <f>IF(B621="","",IF(ISNUMBER(C621),IF(COUNTIFS($M$3:$M$1026,M621,$C$3:$C$1026,"&gt;"&amp;C621)=0,"CURRENT","SUPERSEDED"),"CURRENT"))</f>
        <v/>
      </c>
      <c r="O621" s="19" t="n"/>
    </row>
    <row r="622">
      <c r="A622" s="19" t="n"/>
      <c r="B622" s="20" t="inlineStr">
        <is>
          <t>4503-XH-DL-6190-6199-0008-HE-08_Rev0</t>
        </is>
      </c>
      <c r="C622" s="21" t="n">
        <v>0</v>
      </c>
      <c r="D622" s="21" t="inlineStr">
        <is>
          <t>07.08.2026</t>
        </is>
      </c>
      <c r="E622" s="20" t="inlineStr">
        <is>
          <t>IFC - ISSUED FOR CONSTRUCTION</t>
        </is>
      </c>
      <c r="F622" s="21" t="n">
        <v>6190</v>
      </c>
      <c r="G622" s="20" t="inlineStr">
        <is>
          <t>PIPE B36.10/36.19 A333 6-SMLS BE BE</t>
        </is>
      </c>
      <c r="H622" s="20" t="inlineStr">
        <is>
          <t>A333</t>
        </is>
      </c>
      <c r="I622" s="22" t="n">
        <v>3</v>
      </c>
      <c r="J622" s="21" t="inlineStr">
        <is>
          <t>STD</t>
        </is>
      </c>
      <c r="K622" s="20" t="inlineStr">
        <is>
          <t>I63649171</t>
        </is>
      </c>
      <c r="L622" s="22" t="n">
        <v>17</v>
      </c>
      <c r="M622" s="20">
        <f>IFERROR(LEFT(B622,SEARCH("_Rev",B622)-1),B622)</f>
        <v/>
      </c>
      <c r="N622" s="20">
        <f>IF(B622="","",IF(ISNUMBER(C622),IF(COUNTIFS($M$3:$M$1026,M622,$C$3:$C$1026,"&gt;"&amp;C622)=0,"CURRENT","SUPERSEDED"),"CURRENT"))</f>
        <v/>
      </c>
      <c r="O622" s="19" t="n"/>
    </row>
    <row r="623">
      <c r="A623" s="19" t="n"/>
      <c r="B623" s="20" t="inlineStr">
        <is>
          <t>4503-XH-DL-6190-6199-0008-HE-09_Rev0</t>
        </is>
      </c>
      <c r="C623" s="21" t="n">
        <v>0</v>
      </c>
      <c r="D623" s="21" t="inlineStr">
        <is>
          <t>07.08.2026</t>
        </is>
      </c>
      <c r="E623" s="20" t="inlineStr">
        <is>
          <t>IFC - ISSUED FOR CONSTRUCTION</t>
        </is>
      </c>
      <c r="F623" s="21" t="n">
        <v>6190</v>
      </c>
      <c r="G623" s="20" t="inlineStr">
        <is>
          <t>PIPE B36.10/36.19 A333 6-SMLS BE BE</t>
        </is>
      </c>
      <c r="H623" s="20" t="inlineStr">
        <is>
          <t>A333</t>
        </is>
      </c>
      <c r="I623" s="22" t="n">
        <v>3</v>
      </c>
      <c r="J623" s="21" t="inlineStr">
        <is>
          <t>STD</t>
        </is>
      </c>
      <c r="K623" s="20" t="inlineStr">
        <is>
          <t>I63649171</t>
        </is>
      </c>
      <c r="L623" s="22" t="n">
        <v>38.5</v>
      </c>
      <c r="M623" s="20">
        <f>IFERROR(LEFT(B623,SEARCH("_Rev",B623)-1),B623)</f>
        <v/>
      </c>
      <c r="N623" s="20">
        <f>IF(B623="","",IF(ISNUMBER(C623),IF(COUNTIFS($M$3:$M$1026,M623,$C$3:$C$1026,"&gt;"&amp;C623)=0,"CURRENT","SUPERSEDED"),"CURRENT"))</f>
        <v/>
      </c>
      <c r="O623" s="19" t="n"/>
    </row>
    <row r="624">
      <c r="A624" s="19" t="n"/>
      <c r="B624" s="20" t="inlineStr">
        <is>
          <t>4503-XH-DL-6190-8900-5005-ETH-01_Rev0</t>
        </is>
      </c>
      <c r="C624" s="21" t="n">
        <v>0</v>
      </c>
      <c r="D624" s="21" t="inlineStr">
        <is>
          <t>07.08.2026</t>
        </is>
      </c>
      <c r="E624" s="20" t="inlineStr">
        <is>
          <t>IFC - ISSUED FOR CONSTRUCTION</t>
        </is>
      </c>
      <c r="F624" s="21" t="n">
        <v>6190</v>
      </c>
      <c r="G624" s="20" t="inlineStr">
        <is>
          <t>PIPE B36.10/36.19 A333 6-SMLS BE BE</t>
        </is>
      </c>
      <c r="H624" s="20" t="inlineStr">
        <is>
          <t>A333</t>
        </is>
      </c>
      <c r="I624" s="22" t="n">
        <v>12</v>
      </c>
      <c r="J624" s="21" t="inlineStr">
        <is>
          <t>STD</t>
        </is>
      </c>
      <c r="K624" s="20" t="inlineStr">
        <is>
          <t>I64955933</t>
        </is>
      </c>
      <c r="L624" s="22" t="n">
        <v>22.8</v>
      </c>
      <c r="M624" s="20">
        <f>IFERROR(LEFT(B624,SEARCH("_Rev",B624)-1),B624)</f>
        <v/>
      </c>
      <c r="N624" s="20">
        <f>IF(B624="","",IF(ISNUMBER(C624),IF(COUNTIFS($M$3:$M$1026,M624,$C$3:$C$1026,"&gt;"&amp;C624)=0,"CURRENT","SUPERSEDED"),"CURRENT"))</f>
        <v/>
      </c>
      <c r="O624" s="19" t="n"/>
    </row>
    <row r="625">
      <c r="A625" s="19" t="n"/>
      <c r="B625" s="20" t="inlineStr">
        <is>
          <t>4503-XH-DL-6190-8900-5005-ETH-02_Rev0</t>
        </is>
      </c>
      <c r="C625" s="21" t="n">
        <v>0</v>
      </c>
      <c r="D625" s="21" t="inlineStr">
        <is>
          <t>07.08.2026</t>
        </is>
      </c>
      <c r="E625" s="20" t="inlineStr">
        <is>
          <t>IFC - ISSUED FOR CONSTRUCTION</t>
        </is>
      </c>
      <c r="F625" s="21" t="n">
        <v>6190</v>
      </c>
      <c r="G625" s="20" t="inlineStr">
        <is>
          <t>PIPE B36.10/36.19 A333 6-SMLS BE BE</t>
        </is>
      </c>
      <c r="H625" s="20" t="inlineStr">
        <is>
          <t>A333</t>
        </is>
      </c>
      <c r="I625" s="22" t="n">
        <v>12</v>
      </c>
      <c r="J625" s="21" t="inlineStr">
        <is>
          <t>STD</t>
        </is>
      </c>
      <c r="K625" s="20" t="inlineStr">
        <is>
          <t>I64955933</t>
        </is>
      </c>
      <c r="L625" s="22" t="n">
        <v>28.3</v>
      </c>
      <c r="M625" s="20">
        <f>IFERROR(LEFT(B625,SEARCH("_Rev",B625)-1),B625)</f>
        <v/>
      </c>
      <c r="N625" s="20">
        <f>IF(B625="","",IF(ISNUMBER(C625),IF(COUNTIFS($M$3:$M$1026,M625,$C$3:$C$1026,"&gt;"&amp;C625)=0,"CURRENT","SUPERSEDED"),"CURRENT"))</f>
        <v/>
      </c>
      <c r="O625" s="19" t="n"/>
    </row>
    <row r="626">
      <c r="A626" s="19" t="n"/>
      <c r="B626" s="20" t="inlineStr">
        <is>
          <t>4503-XH-DL-8703-8776-5052-HE-01_Rev0</t>
        </is>
      </c>
      <c r="C626" s="21" t="n">
        <v>0</v>
      </c>
      <c r="D626" s="21" t="n">
        <v>46254</v>
      </c>
      <c r="E626" s="20" t="inlineStr">
        <is>
          <t>IFC-ISSUED FOR CONSTRUCTION</t>
        </is>
      </c>
      <c r="F626" s="21" t="n">
        <v>8703</v>
      </c>
      <c r="G626" s="20" t="inlineStr">
        <is>
          <t>PIPE B36.10/36.19 A333 6-SMLS BE BE</t>
        </is>
      </c>
      <c r="H626" s="20" t="inlineStr">
        <is>
          <t>A333</t>
        </is>
      </c>
      <c r="I626" s="22" t="n">
        <v>6</v>
      </c>
      <c r="J626" s="21" t="inlineStr">
        <is>
          <t>STD</t>
        </is>
      </c>
      <c r="K626" s="20" t="inlineStr">
        <is>
          <t>I63649156</t>
        </is>
      </c>
      <c r="L626" s="22" t="n">
        <v>15.8</v>
      </c>
      <c r="M626" s="20">
        <f>IFERROR(LEFT(B626,SEARCH("_Rev",B626)-1),B626)</f>
        <v/>
      </c>
      <c r="N626" s="20">
        <f>IF(B626="","",IF(ISNUMBER(C626),IF(COUNTIFS($M$3:$M$1026,M626,$C$3:$C$1026,"&gt;"&amp;C626)=0,"CURRENT","SUPERSEDED"),"CURRENT"))</f>
        <v/>
      </c>
      <c r="O626" s="19" t="n"/>
    </row>
    <row r="627">
      <c r="A627" s="19" t="n"/>
      <c r="B627" s="20" t="inlineStr">
        <is>
          <t>4503-XH-DL-8703-8776-5074-HE-01_Rev0</t>
        </is>
      </c>
      <c r="C627" s="21" t="n">
        <v>0</v>
      </c>
      <c r="D627" s="21" t="inlineStr">
        <is>
          <t>20.08.2026</t>
        </is>
      </c>
      <c r="E627" s="20" t="inlineStr">
        <is>
          <t>IFC-ISSUED FOR CONSTRUCTION</t>
        </is>
      </c>
      <c r="F627" s="21" t="n">
        <v>8703</v>
      </c>
      <c r="G627" s="20" t="inlineStr">
        <is>
          <t>PIPE B36.10/36.19 A333 6-SMLS BE BE</t>
        </is>
      </c>
      <c r="H627" s="20" t="inlineStr">
        <is>
          <t>A333</t>
        </is>
      </c>
      <c r="I627" s="22" t="n">
        <v>6</v>
      </c>
      <c r="J627" s="21" t="inlineStr">
        <is>
          <t>STD</t>
        </is>
      </c>
      <c r="K627" s="20" t="inlineStr">
        <is>
          <t>I63649156</t>
        </is>
      </c>
      <c r="L627" s="22" t="n">
        <v>3.1</v>
      </c>
      <c r="M627" s="20">
        <f>IFERROR(LEFT(B627,SEARCH("_Rev",B627)-1),B627)</f>
        <v/>
      </c>
      <c r="N627" s="20">
        <f>IF(B627="","",IF(ISNUMBER(C627),IF(COUNTIFS($M$3:$M$1026,M627,$C$3:$C$1026,"&gt;"&amp;C627)=0,"CURRENT","SUPERSEDED"),"CURRENT"))</f>
        <v/>
      </c>
      <c r="O627" s="19" t="n"/>
    </row>
    <row r="628">
      <c r="A628" s="19" t="n"/>
      <c r="B628" s="20" t="inlineStr">
        <is>
          <t>4503-XH-DL-8703-8776-5075-HE-01_Rev0</t>
        </is>
      </c>
      <c r="C628" s="21" t="n">
        <v>0</v>
      </c>
      <c r="D628" s="21" t="inlineStr">
        <is>
          <t>20.08.2026</t>
        </is>
      </c>
      <c r="E628" s="20" t="inlineStr">
        <is>
          <t>IFC-ISSUED FOR CONSTRUCTION</t>
        </is>
      </c>
      <c r="F628" s="21" t="n">
        <v>8703</v>
      </c>
      <c r="G628" s="20" t="inlineStr">
        <is>
          <t>PIPE B36.10/36.19 A333 6-SMLS BE BE</t>
        </is>
      </c>
      <c r="H628" s="20" t="inlineStr">
        <is>
          <t>A333</t>
        </is>
      </c>
      <c r="I628" s="22" t="n">
        <v>6</v>
      </c>
      <c r="J628" s="21" t="inlineStr">
        <is>
          <t>STD</t>
        </is>
      </c>
      <c r="K628" s="20" t="inlineStr">
        <is>
          <t>I63649156</t>
        </is>
      </c>
      <c r="L628" s="22" t="n">
        <v>3.1</v>
      </c>
      <c r="M628" s="20">
        <f>IFERROR(LEFT(B628,SEARCH("_Rev",B628)-1),B628)</f>
        <v/>
      </c>
      <c r="N628" s="20">
        <f>IF(B628="","",IF(ISNUMBER(C628),IF(COUNTIFS($M$3:$M$1026,M628,$C$3:$C$1026,"&gt;"&amp;C628)=0,"CURRENT","SUPERSEDED"),"CURRENT"))</f>
        <v/>
      </c>
      <c r="O628" s="19" t="n"/>
    </row>
    <row r="629">
      <c r="A629" s="19" t="n"/>
      <c r="B629" s="20" t="inlineStr">
        <is>
          <t>4503-XH-DL-8703-8776-5127-HE-01_Rev0</t>
        </is>
      </c>
      <c r="C629" s="21" t="n">
        <v>0</v>
      </c>
      <c r="D629" s="21" t="inlineStr">
        <is>
          <t>20.08.2026</t>
        </is>
      </c>
      <c r="E629" s="20" t="n"/>
      <c r="F629" s="21" t="n">
        <v>8703</v>
      </c>
      <c r="G629" s="20" t="inlineStr">
        <is>
          <t>PIPE B36.10/36.19 A333 6-SMLS BE BE</t>
        </is>
      </c>
      <c r="H629" s="20" t="inlineStr">
        <is>
          <t>A333</t>
        </is>
      </c>
      <c r="I629" s="22" t="n">
        <v>6</v>
      </c>
      <c r="J629" s="21" t="inlineStr">
        <is>
          <t>STD</t>
        </is>
      </c>
      <c r="K629" s="20" t="inlineStr">
        <is>
          <t>I63649156</t>
        </is>
      </c>
      <c r="L629" s="22" t="n">
        <v>14</v>
      </c>
      <c r="M629" s="20">
        <f>IFERROR(LEFT(B629,SEARCH("_Rev",B629)-1),B629)</f>
        <v/>
      </c>
      <c r="N629" s="20">
        <f>IF(B629="","",IF(ISNUMBER(C629),IF(COUNTIFS($M$3:$M$1026,M629,$C$3:$C$1026,"&gt;"&amp;C629)=0,"CURRENT","SUPERSEDED"),"CURRENT"))</f>
        <v/>
      </c>
      <c r="O629" s="19" t="n"/>
    </row>
    <row r="630">
      <c r="A630" s="19" t="n"/>
      <c r="B630" s="20" t="inlineStr">
        <is>
          <t>4503-XH-DL-8703-8776-5128-HE-01_Rev0</t>
        </is>
      </c>
      <c r="C630" s="21" t="n">
        <v>0</v>
      </c>
      <c r="D630" s="21" t="inlineStr">
        <is>
          <t>20.08.2026</t>
        </is>
      </c>
      <c r="E630" s="20" t="n"/>
      <c r="F630" s="21" t="n">
        <v>8703</v>
      </c>
      <c r="G630" s="20" t="inlineStr">
        <is>
          <t>PIPE B36.10/36.19 A333 6-SMLS BE BE</t>
        </is>
      </c>
      <c r="H630" s="20" t="inlineStr">
        <is>
          <t>A333</t>
        </is>
      </c>
      <c r="I630" s="22" t="n">
        <v>6</v>
      </c>
      <c r="J630" s="21" t="inlineStr">
        <is>
          <t>STD</t>
        </is>
      </c>
      <c r="K630" s="20" t="inlineStr">
        <is>
          <t>I63649156</t>
        </is>
      </c>
      <c r="L630" s="22" t="n">
        <v>13.9</v>
      </c>
      <c r="M630" s="20">
        <f>IFERROR(LEFT(B630,SEARCH("_Rev",B630)-1),B630)</f>
        <v/>
      </c>
      <c r="N630" s="20">
        <f>IF(B630="","",IF(ISNUMBER(C630),IF(COUNTIFS($M$3:$M$1026,M630,$C$3:$C$1026,"&gt;"&amp;C630)=0,"CURRENT","SUPERSEDED"),"CURRENT"))</f>
        <v/>
      </c>
      <c r="O630" s="19" t="n"/>
    </row>
    <row r="631">
      <c r="A631" s="19" t="n"/>
      <c r="B631" s="20" t="inlineStr">
        <is>
          <t>4503-XH-DL-8705-8765-5102-PR-01_Rev0</t>
        </is>
      </c>
      <c r="C631" s="21" t="n">
        <v>0</v>
      </c>
      <c r="D631" s="21" t="inlineStr">
        <is>
          <t>20.08.2026</t>
        </is>
      </c>
      <c r="E631" s="20" t="n"/>
      <c r="F631" s="21" t="n">
        <v>8705</v>
      </c>
      <c r="G631" s="20" t="inlineStr">
        <is>
          <t>PIPE B36.10/36.19 A333 6-SMLS BE BE</t>
        </is>
      </c>
      <c r="H631" s="20" t="inlineStr">
        <is>
          <t>A333</t>
        </is>
      </c>
      <c r="I631" s="22" t="n">
        <v>16</v>
      </c>
      <c r="J631" s="21" t="inlineStr">
        <is>
          <t>XS</t>
        </is>
      </c>
      <c r="K631" s="20" t="inlineStr">
        <is>
          <t>I63649182</t>
        </is>
      </c>
      <c r="L631" s="22" t="n">
        <v>13.8</v>
      </c>
      <c r="M631" s="20">
        <f>IFERROR(LEFT(B631,SEARCH("_Rev",B631)-1),B631)</f>
        <v/>
      </c>
      <c r="N631" s="20">
        <f>IF(B631="","",IF(ISNUMBER(C631),IF(COUNTIFS($M$3:$M$1026,M631,$C$3:$C$1026,"&gt;"&amp;C631)=0,"CURRENT","SUPERSEDED"),"CURRENT"))</f>
        <v/>
      </c>
      <c r="O631" s="19" t="n"/>
    </row>
    <row r="632">
      <c r="A632" s="19" t="n"/>
      <c r="B632" s="20" t="inlineStr">
        <is>
          <t>4503-XH-DL-8705-8765-5102-PR-01_Rev0</t>
        </is>
      </c>
      <c r="C632" s="21" t="n">
        <v>0</v>
      </c>
      <c r="D632" s="21" t="inlineStr">
        <is>
          <t>20.08.2026</t>
        </is>
      </c>
      <c r="E632" s="20" t="n"/>
      <c r="F632" s="21" t="n">
        <v>8705</v>
      </c>
      <c r="G632" s="20" t="inlineStr">
        <is>
          <t>PIPE B36.10/36.19 A333 6-SMLS BE BE</t>
        </is>
      </c>
      <c r="H632" s="20" t="inlineStr">
        <is>
          <t>A333</t>
        </is>
      </c>
      <c r="I632" s="22" t="n">
        <v>2</v>
      </c>
      <c r="J632" s="21" t="inlineStr">
        <is>
          <t>XS</t>
        </is>
      </c>
      <c r="K632" s="20" t="inlineStr">
        <is>
          <t>I64108762</t>
        </is>
      </c>
      <c r="L632" s="22" t="n">
        <v>0.1</v>
      </c>
      <c r="M632" s="20">
        <f>IFERROR(LEFT(B632,SEARCH("_Rev",B632)-1),B632)</f>
        <v/>
      </c>
      <c r="N632" s="20">
        <f>IF(B632="","",IF(ISNUMBER(C632),IF(COUNTIFS($M$3:$M$1026,M632,$C$3:$C$1026,"&gt;"&amp;C632)=0,"CURRENT","SUPERSEDED"),"CURRENT"))</f>
        <v/>
      </c>
      <c r="O632" s="19" t="n"/>
    </row>
    <row r="633">
      <c r="A633" s="19" t="n"/>
      <c r="B633" s="20" t="inlineStr">
        <is>
          <t>4503-XH-DL-8705-8765-5102-PR-02_Rev0</t>
        </is>
      </c>
      <c r="C633" s="21" t="n">
        <v>0</v>
      </c>
      <c r="D633" s="21" t="inlineStr">
        <is>
          <t>20.08.2026</t>
        </is>
      </c>
      <c r="E633" s="20" t="n"/>
      <c r="F633" s="21" t="n">
        <v>8705</v>
      </c>
      <c r="G633" s="20" t="inlineStr">
        <is>
          <t>PIPE B36.10/36.19 A333 6-SMLS BE BE</t>
        </is>
      </c>
      <c r="H633" s="20" t="inlineStr">
        <is>
          <t>A333</t>
        </is>
      </c>
      <c r="I633" s="22" t="n">
        <v>16</v>
      </c>
      <c r="J633" s="21" t="inlineStr">
        <is>
          <t>XS</t>
        </is>
      </c>
      <c r="K633" s="20" t="inlineStr">
        <is>
          <t>I63649182</t>
        </is>
      </c>
      <c r="L633" s="22" t="n">
        <v>17.6</v>
      </c>
      <c r="M633" s="20">
        <f>IFERROR(LEFT(B633,SEARCH("_Rev",B633)-1),B633)</f>
        <v/>
      </c>
      <c r="N633" s="20">
        <f>IF(B633="","",IF(ISNUMBER(C633),IF(COUNTIFS($M$3:$M$1026,M633,$C$3:$C$1026,"&gt;"&amp;C633)=0,"CURRENT","SUPERSEDED"),"CURRENT"))</f>
        <v/>
      </c>
      <c r="O633" s="19" t="n"/>
    </row>
    <row r="634">
      <c r="A634" s="19" t="n"/>
      <c r="B634" s="20" t="inlineStr">
        <is>
          <t>4503-XH-DL-8705-8765-5102-PR-02_Rev0</t>
        </is>
      </c>
      <c r="C634" s="21" t="n">
        <v>0</v>
      </c>
      <c r="D634" s="21" t="inlineStr">
        <is>
          <t>20.08.2026</t>
        </is>
      </c>
      <c r="E634" s="20" t="n"/>
      <c r="F634" s="21" t="n">
        <v>8705</v>
      </c>
      <c r="G634" s="20" t="inlineStr">
        <is>
          <t>PIPE B36.10/36.19 A333 6-SMLS BE BE</t>
        </is>
      </c>
      <c r="H634" s="20" t="inlineStr">
        <is>
          <t>A333</t>
        </is>
      </c>
      <c r="I634" s="22" t="n">
        <v>2</v>
      </c>
      <c r="J634" s="21" t="inlineStr">
        <is>
          <t>XS</t>
        </is>
      </c>
      <c r="K634" s="20" t="inlineStr">
        <is>
          <t>I64108762</t>
        </is>
      </c>
      <c r="L634" s="22" t="n">
        <v>0.6</v>
      </c>
      <c r="M634" s="20">
        <f>IFERROR(LEFT(B634,SEARCH("_Rev",B634)-1),B634)</f>
        <v/>
      </c>
      <c r="N634" s="20">
        <f>IF(B634="","",IF(ISNUMBER(C634),IF(COUNTIFS($M$3:$M$1026,M634,$C$3:$C$1026,"&gt;"&amp;C634)=0,"CURRENT","SUPERSEDED"),"CURRENT"))</f>
        <v/>
      </c>
      <c r="O634" s="19" t="n"/>
    </row>
    <row r="635">
      <c r="A635" s="19" t="n"/>
      <c r="B635" s="20" t="inlineStr">
        <is>
          <t>4503-XH-DL-8705-8765-5102-PR-02_Rev0</t>
        </is>
      </c>
      <c r="C635" s="21" t="n">
        <v>0</v>
      </c>
      <c r="D635" s="21" t="inlineStr">
        <is>
          <t>20.08.2026</t>
        </is>
      </c>
      <c r="E635" s="20" t="n"/>
      <c r="F635" s="21" t="n">
        <v>8705</v>
      </c>
      <c r="G635" s="20" t="inlineStr">
        <is>
          <t>PIPE B36.10/36.19 A333 6-SMLS PE PE</t>
        </is>
      </c>
      <c r="H635" s="20" t="inlineStr">
        <is>
          <t>A333</t>
        </is>
      </c>
      <c r="I635" s="22" t="n">
        <v>1</v>
      </c>
      <c r="J635" s="21" t="inlineStr">
        <is>
          <t>XS</t>
        </is>
      </c>
      <c r="K635" s="20" t="inlineStr">
        <is>
          <t>I63649231</t>
        </is>
      </c>
      <c r="L635" s="22" t="n">
        <v>0.3</v>
      </c>
      <c r="M635" s="20">
        <f>IFERROR(LEFT(B635,SEARCH("_Rev",B635)-1),B635)</f>
        <v/>
      </c>
      <c r="N635" s="20">
        <f>IF(B635="","",IF(ISNUMBER(C635),IF(COUNTIFS($M$3:$M$1026,M635,$C$3:$C$1026,"&gt;"&amp;C635)=0,"CURRENT","SUPERSEDED"),"CURRENT"))</f>
        <v/>
      </c>
      <c r="O635" s="19" t="n"/>
    </row>
    <row r="636">
      <c r="A636" s="19" t="n"/>
      <c r="B636" s="20" t="inlineStr">
        <is>
          <t>4503-XH-DL-8705-8765-5102-PR-03_Rev0</t>
        </is>
      </c>
      <c r="C636" s="21" t="n">
        <v>0</v>
      </c>
      <c r="D636" s="21" t="inlineStr">
        <is>
          <t>20.08.2026</t>
        </is>
      </c>
      <c r="E636" s="20" t="n"/>
      <c r="F636" s="21" t="n">
        <v>8705</v>
      </c>
      <c r="G636" s="20" t="inlineStr">
        <is>
          <t>PIPE B36.10/36.19 A333 6-SMLS BE BE</t>
        </is>
      </c>
      <c r="H636" s="20" t="inlineStr">
        <is>
          <t>A333</t>
        </is>
      </c>
      <c r="I636" s="22" t="n">
        <v>16</v>
      </c>
      <c r="J636" s="21" t="inlineStr">
        <is>
          <t>XS</t>
        </is>
      </c>
      <c r="K636" s="20" t="inlineStr">
        <is>
          <t>I63649182</t>
        </is>
      </c>
      <c r="L636" s="22" t="n">
        <v>16.2</v>
      </c>
      <c r="M636" s="20">
        <f>IFERROR(LEFT(B636,SEARCH("_Rev",B636)-1),B636)</f>
        <v/>
      </c>
      <c r="N636" s="20">
        <f>IF(B636="","",IF(ISNUMBER(C636),IF(COUNTIFS($M$3:$M$1026,M636,$C$3:$C$1026,"&gt;"&amp;C636)=0,"CURRENT","SUPERSEDED"),"CURRENT"))</f>
        <v/>
      </c>
      <c r="O636" s="19" t="n"/>
    </row>
    <row r="637">
      <c r="A637" s="19" t="n"/>
      <c r="B637" s="20" t="inlineStr">
        <is>
          <t>4503-XH-DL-8705-8765-5102-PR-03_Rev0</t>
        </is>
      </c>
      <c r="C637" s="21" t="n">
        <v>0</v>
      </c>
      <c r="D637" s="21" t="inlineStr">
        <is>
          <t>20.08.2026</t>
        </is>
      </c>
      <c r="E637" s="20" t="n"/>
      <c r="F637" s="21" t="n">
        <v>8705</v>
      </c>
      <c r="G637" s="20" t="inlineStr">
        <is>
          <t>PIPE B36.10/36.19 A333 6-SMLS BE BE</t>
        </is>
      </c>
      <c r="H637" s="20" t="inlineStr">
        <is>
          <t>A333</t>
        </is>
      </c>
      <c r="I637" s="22" t="n">
        <v>14</v>
      </c>
      <c r="J637" s="21" t="inlineStr">
        <is>
          <t>STD</t>
        </is>
      </c>
      <c r="K637" s="20" t="inlineStr">
        <is>
          <t>I63649172</t>
        </is>
      </c>
      <c r="L637" s="22" t="n">
        <v>13.4</v>
      </c>
      <c r="M637" s="20">
        <f>IFERROR(LEFT(B637,SEARCH("_Rev",B637)-1),B637)</f>
        <v/>
      </c>
      <c r="N637" s="20">
        <f>IF(B637="","",IF(ISNUMBER(C637),IF(COUNTIFS($M$3:$M$1026,M637,$C$3:$C$1026,"&gt;"&amp;C637)=0,"CURRENT","SUPERSEDED"),"CURRENT"))</f>
        <v/>
      </c>
      <c r="O637" s="19" t="n"/>
    </row>
    <row r="638">
      <c r="A638" s="19" t="n"/>
      <c r="B638" s="20" t="inlineStr">
        <is>
          <t>4503-XH-DL-8705-8765-5102-PR-03_Rev0</t>
        </is>
      </c>
      <c r="C638" s="21" t="n">
        <v>0</v>
      </c>
      <c r="D638" s="21" t="inlineStr">
        <is>
          <t>20.08.2026</t>
        </is>
      </c>
      <c r="E638" s="20" t="n"/>
      <c r="F638" s="21" t="n">
        <v>8705</v>
      </c>
      <c r="G638" s="20" t="inlineStr">
        <is>
          <t>PIPE B36.10/36.19 A333 6-SMLS BE BE</t>
        </is>
      </c>
      <c r="H638" s="20" t="inlineStr">
        <is>
          <t>A333</t>
        </is>
      </c>
      <c r="I638" s="22" t="n">
        <v>8</v>
      </c>
      <c r="J638" s="21" t="inlineStr">
        <is>
          <t>STD</t>
        </is>
      </c>
      <c r="K638" s="20" t="inlineStr">
        <is>
          <t>I64108766</t>
        </is>
      </c>
      <c r="L638" s="22" t="n">
        <v>11</v>
      </c>
      <c r="M638" s="20">
        <f>IFERROR(LEFT(B638,SEARCH("_Rev",B638)-1),B638)</f>
        <v/>
      </c>
      <c r="N638" s="20">
        <f>IF(B638="","",IF(ISNUMBER(C638),IF(COUNTIFS($M$3:$M$1026,M638,$C$3:$C$1026,"&gt;"&amp;C638)=0,"CURRENT","SUPERSEDED"),"CURRENT"))</f>
        <v/>
      </c>
      <c r="O638" s="19" t="n"/>
    </row>
    <row r="639">
      <c r="A639" s="19" t="n"/>
      <c r="B639" s="20" t="inlineStr">
        <is>
          <t>4503-XH-DL-8705-8766-5009-IBU-01_Rev0</t>
        </is>
      </c>
      <c r="C639" s="21" t="n">
        <v>0</v>
      </c>
      <c r="D639" s="21" t="inlineStr">
        <is>
          <t>20.08.2026</t>
        </is>
      </c>
      <c r="E639" s="20" t="n"/>
      <c r="F639" s="21" t="n">
        <v>8705</v>
      </c>
      <c r="G639" s="20" t="inlineStr">
        <is>
          <t>PIPE B36.10/36.19 A333 6-SMLS BE BE</t>
        </is>
      </c>
      <c r="H639" s="20" t="inlineStr">
        <is>
          <t>A333</t>
        </is>
      </c>
      <c r="I639" s="22" t="n">
        <v>10</v>
      </c>
      <c r="J639" s="21" t="inlineStr">
        <is>
          <t>STD</t>
        </is>
      </c>
      <c r="K639" s="20" t="inlineStr">
        <is>
          <t>I64108754</t>
        </is>
      </c>
      <c r="L639" s="22" t="n">
        <v>13.2</v>
      </c>
      <c r="M639" s="20">
        <f>IFERROR(LEFT(B639,SEARCH("_Rev",B639)-1),B639)</f>
        <v/>
      </c>
      <c r="N639" s="20">
        <f>IF(B639="","",IF(ISNUMBER(C639),IF(COUNTIFS($M$3:$M$1026,M639,$C$3:$C$1026,"&gt;"&amp;C639)=0,"CURRENT","SUPERSEDED"),"CURRENT"))</f>
        <v/>
      </c>
      <c r="O639" s="19" t="n"/>
    </row>
    <row r="640">
      <c r="A640" s="19" t="n"/>
      <c r="B640" s="20" t="inlineStr">
        <is>
          <t>4503-XH-DL-8705-8766-5009-IBU-01_Rev0</t>
        </is>
      </c>
      <c r="C640" s="21" t="n">
        <v>0</v>
      </c>
      <c r="D640" s="21" t="inlineStr">
        <is>
          <t>20.08.2026</t>
        </is>
      </c>
      <c r="E640" s="20" t="n"/>
      <c r="F640" s="21" t="n">
        <v>8705</v>
      </c>
      <c r="G640" s="20" t="inlineStr">
        <is>
          <t>PIPE B36.10/36.19 A333 6-SMLS BE BE</t>
        </is>
      </c>
      <c r="H640" s="20" t="inlineStr">
        <is>
          <t>A333</t>
        </is>
      </c>
      <c r="I640" s="22" t="n">
        <v>2</v>
      </c>
      <c r="J640" s="21" t="inlineStr">
        <is>
          <t>XS</t>
        </is>
      </c>
      <c r="K640" s="20" t="inlineStr">
        <is>
          <t>I64108762</t>
        </is>
      </c>
      <c r="L640" s="22" t="n">
        <v>0.1</v>
      </c>
      <c r="M640" s="20">
        <f>IFERROR(LEFT(B640,SEARCH("_Rev",B640)-1),B640)</f>
        <v/>
      </c>
      <c r="N640" s="20">
        <f>IF(B640="","",IF(ISNUMBER(C640),IF(COUNTIFS($M$3:$M$1026,M640,$C$3:$C$1026,"&gt;"&amp;C640)=0,"CURRENT","SUPERSEDED"),"CURRENT"))</f>
        <v/>
      </c>
      <c r="O640" s="19" t="n"/>
    </row>
    <row r="641">
      <c r="A641" s="19" t="n"/>
      <c r="B641" s="20" t="inlineStr">
        <is>
          <t>4503-XH-DL-8705-8766-5009-IBU-02_Rev0</t>
        </is>
      </c>
      <c r="C641" s="21" t="n">
        <v>0</v>
      </c>
      <c r="D641" s="21" t="inlineStr">
        <is>
          <t>20.08.2026</t>
        </is>
      </c>
      <c r="E641" s="20" t="n"/>
      <c r="F641" s="21" t="n">
        <v>8705</v>
      </c>
      <c r="G641" s="20" t="inlineStr">
        <is>
          <t>PIPE B36.10/36.19 A333 6-SMLS BE BE</t>
        </is>
      </c>
      <c r="H641" s="20" t="inlineStr">
        <is>
          <t>A333</t>
        </is>
      </c>
      <c r="I641" s="22" t="n">
        <v>10</v>
      </c>
      <c r="J641" s="21" t="inlineStr">
        <is>
          <t>STD</t>
        </is>
      </c>
      <c r="K641" s="20" t="inlineStr">
        <is>
          <t>I64108754</t>
        </is>
      </c>
      <c r="L641" s="22" t="n">
        <v>12</v>
      </c>
      <c r="M641" s="20">
        <f>IFERROR(LEFT(B641,SEARCH("_Rev",B641)-1),B641)</f>
        <v/>
      </c>
      <c r="N641" s="20">
        <f>IF(B641="","",IF(ISNUMBER(C641),IF(COUNTIFS($M$3:$M$1026,M641,$C$3:$C$1026,"&gt;"&amp;C641)=0,"CURRENT","SUPERSEDED"),"CURRENT"))</f>
        <v/>
      </c>
      <c r="O641" s="19" t="n"/>
    </row>
    <row r="642">
      <c r="A642" s="19" t="n"/>
      <c r="B642" s="20" t="inlineStr">
        <is>
          <t>4503-XH-DL-8705-8766-5009-IBU-02_Rev0</t>
        </is>
      </c>
      <c r="C642" s="21" t="n">
        <v>0</v>
      </c>
      <c r="D642" s="21" t="inlineStr">
        <is>
          <t>20.08.2026</t>
        </is>
      </c>
      <c r="E642" s="20" t="n"/>
      <c r="F642" s="21" t="n">
        <v>8705</v>
      </c>
      <c r="G642" s="20" t="inlineStr">
        <is>
          <t>PIPE B36.10/36.19 A333 6-SMLS BE BE</t>
        </is>
      </c>
      <c r="H642" s="20" t="inlineStr">
        <is>
          <t>A333</t>
        </is>
      </c>
      <c r="I642" s="22" t="n">
        <v>2</v>
      </c>
      <c r="J642" s="21" t="inlineStr">
        <is>
          <t>XS</t>
        </is>
      </c>
      <c r="K642" s="20" t="inlineStr">
        <is>
          <t>I64108762</t>
        </is>
      </c>
      <c r="L642" s="22" t="n">
        <v>0.9</v>
      </c>
      <c r="M642" s="20">
        <f>IFERROR(LEFT(B642,SEARCH("_Rev",B642)-1),B642)</f>
        <v/>
      </c>
      <c r="N642" s="20">
        <f>IF(B642="","",IF(ISNUMBER(C642),IF(COUNTIFS($M$3:$M$1026,M642,$C$3:$C$1026,"&gt;"&amp;C642)=0,"CURRENT","SUPERSEDED"),"CURRENT"))</f>
        <v/>
      </c>
      <c r="O642" s="19" t="n"/>
    </row>
    <row r="643">
      <c r="A643" s="19" t="n"/>
      <c r="B643" s="20" t="inlineStr">
        <is>
          <t>4503-XH-DL-8705-8766-5009-IBU-02_Rev0</t>
        </is>
      </c>
      <c r="C643" s="21" t="n">
        <v>0</v>
      </c>
      <c r="D643" s="21" t="inlineStr">
        <is>
          <t>20.08.2026</t>
        </is>
      </c>
      <c r="E643" s="20" t="n"/>
      <c r="F643" s="21" t="n">
        <v>8705</v>
      </c>
      <c r="G643" s="20" t="inlineStr">
        <is>
          <t>PIPE B36.10/36.19 A333 6-SMLS PE PE</t>
        </is>
      </c>
      <c r="H643" s="20" t="inlineStr">
        <is>
          <t>A333</t>
        </is>
      </c>
      <c r="I643" s="22" t="n">
        <v>1</v>
      </c>
      <c r="J643" s="21" t="inlineStr">
        <is>
          <t>XS</t>
        </is>
      </c>
      <c r="K643" s="20" t="inlineStr">
        <is>
          <t>I63649231</t>
        </is>
      </c>
      <c r="L643" s="22" t="n">
        <v>0.3</v>
      </c>
      <c r="M643" s="20">
        <f>IFERROR(LEFT(B643,SEARCH("_Rev",B643)-1),B643)</f>
        <v/>
      </c>
      <c r="N643" s="20">
        <f>IF(B643="","",IF(ISNUMBER(C643),IF(COUNTIFS($M$3:$M$1026,M643,$C$3:$C$1026,"&gt;"&amp;C643)=0,"CURRENT","SUPERSEDED"),"CURRENT"))</f>
        <v/>
      </c>
      <c r="O643" s="19" t="n"/>
    </row>
    <row r="644">
      <c r="A644" s="19" t="n"/>
      <c r="B644" s="20" t="inlineStr">
        <is>
          <t>4503-XH-DL-8705-8766-5054-IBU-01_Rev0</t>
        </is>
      </c>
      <c r="C644" s="21" t="n">
        <v>0</v>
      </c>
      <c r="D644" s="21" t="inlineStr">
        <is>
          <t>20.08.2026</t>
        </is>
      </c>
      <c r="E644" s="20" t="n"/>
      <c r="F644" s="21" t="n">
        <v>8705</v>
      </c>
      <c r="G644" s="20" t="inlineStr">
        <is>
          <t>PIPE B36.10/36.19 A333 6-SMLS BE BE</t>
        </is>
      </c>
      <c r="H644" s="20" t="inlineStr">
        <is>
          <t>A333</t>
        </is>
      </c>
      <c r="I644" s="22" t="n">
        <v>10</v>
      </c>
      <c r="J644" s="21" t="inlineStr">
        <is>
          <t>STD</t>
        </is>
      </c>
      <c r="K644" s="20" t="inlineStr">
        <is>
          <t>I64108754</t>
        </is>
      </c>
      <c r="L644" s="22" t="n">
        <v>13.2</v>
      </c>
      <c r="M644" s="20">
        <f>IFERROR(LEFT(B644,SEARCH("_Rev",B644)-1),B644)</f>
        <v/>
      </c>
      <c r="N644" s="20">
        <f>IF(B644="","",IF(ISNUMBER(C644),IF(COUNTIFS($M$3:$M$1026,M644,$C$3:$C$1026,"&gt;"&amp;C644)=0,"CURRENT","SUPERSEDED"),"CURRENT"))</f>
        <v/>
      </c>
      <c r="O644" s="19" t="n"/>
    </row>
    <row r="645">
      <c r="A645" s="19" t="n"/>
      <c r="B645" s="20" t="inlineStr">
        <is>
          <t>4503-XH-DL-8705-8766-5054-IBU-01_Rev0</t>
        </is>
      </c>
      <c r="C645" s="21" t="n">
        <v>0</v>
      </c>
      <c r="D645" s="21" t="inlineStr">
        <is>
          <t>20.08.2026</t>
        </is>
      </c>
      <c r="E645" s="20" t="n"/>
      <c r="F645" s="21" t="n">
        <v>8705</v>
      </c>
      <c r="G645" s="20" t="inlineStr">
        <is>
          <t>PIPE B36.10/36.19 A333 6-SMLS BE BE</t>
        </is>
      </c>
      <c r="H645" s="20" t="inlineStr">
        <is>
          <t>A333</t>
        </is>
      </c>
      <c r="I645" s="22" t="n">
        <v>2</v>
      </c>
      <c r="J645" s="21" t="inlineStr">
        <is>
          <t>XS</t>
        </is>
      </c>
      <c r="K645" s="20" t="inlineStr">
        <is>
          <t>I64108762</t>
        </is>
      </c>
      <c r="L645" s="22" t="n">
        <v>0.1</v>
      </c>
      <c r="M645" s="20">
        <f>IFERROR(LEFT(B645,SEARCH("_Rev",B645)-1),B645)</f>
        <v/>
      </c>
      <c r="N645" s="20">
        <f>IF(B645="","",IF(ISNUMBER(C645),IF(COUNTIFS($M$3:$M$1026,M645,$C$3:$C$1026,"&gt;"&amp;C645)=0,"CURRENT","SUPERSEDED"),"CURRENT"))</f>
        <v/>
      </c>
      <c r="O645" s="19" t="n"/>
    </row>
    <row r="646">
      <c r="A646" s="19" t="n"/>
      <c r="B646" s="20" t="inlineStr">
        <is>
          <t>4503-XH-DL-8705-8766-5054-IBU-02_Rev0</t>
        </is>
      </c>
      <c r="C646" s="21" t="n">
        <v>0</v>
      </c>
      <c r="D646" s="21" t="inlineStr">
        <is>
          <t>20.08.2026</t>
        </is>
      </c>
      <c r="E646" s="20" t="n"/>
      <c r="F646" s="21" t="n">
        <v>8705</v>
      </c>
      <c r="G646" s="20" t="inlineStr">
        <is>
          <t>PIPE B36.10/36.19 A333 6-SMLS BE BE</t>
        </is>
      </c>
      <c r="H646" s="20" t="inlineStr">
        <is>
          <t>A333</t>
        </is>
      </c>
      <c r="I646" s="22" t="n">
        <v>10</v>
      </c>
      <c r="J646" s="21" t="inlineStr">
        <is>
          <t>STD</t>
        </is>
      </c>
      <c r="K646" s="20" t="inlineStr">
        <is>
          <t>I64108754</t>
        </is>
      </c>
      <c r="L646" s="22" t="n">
        <v>12</v>
      </c>
      <c r="M646" s="20">
        <f>IFERROR(LEFT(B646,SEARCH("_Rev",B646)-1),B646)</f>
        <v/>
      </c>
      <c r="N646" s="20">
        <f>IF(B646="","",IF(ISNUMBER(C646),IF(COUNTIFS($M$3:$M$1026,M646,$C$3:$C$1026,"&gt;"&amp;C646)=0,"CURRENT","SUPERSEDED"),"CURRENT"))</f>
        <v/>
      </c>
      <c r="O646" s="19" t="n"/>
    </row>
    <row r="647">
      <c r="A647" s="19" t="n"/>
      <c r="B647" s="20" t="inlineStr">
        <is>
          <t>4503-XH-DL-8705-8766-5054-IBU-02_Rev0</t>
        </is>
      </c>
      <c r="C647" s="21" t="n">
        <v>0</v>
      </c>
      <c r="D647" s="21" t="inlineStr">
        <is>
          <t>20.08.2026</t>
        </is>
      </c>
      <c r="E647" s="20" t="n"/>
      <c r="F647" s="21" t="n">
        <v>8705</v>
      </c>
      <c r="G647" s="20" t="inlineStr">
        <is>
          <t>PIPE B36.10/36.19 A333 6-SMLS BE BE</t>
        </is>
      </c>
      <c r="H647" s="20" t="inlineStr">
        <is>
          <t>A333</t>
        </is>
      </c>
      <c r="I647" s="22" t="n">
        <v>2</v>
      </c>
      <c r="J647" s="21" t="inlineStr">
        <is>
          <t>XS</t>
        </is>
      </c>
      <c r="K647" s="20" t="inlineStr">
        <is>
          <t>I64108762</t>
        </is>
      </c>
      <c r="L647" s="22" t="n">
        <v>0.9</v>
      </c>
      <c r="M647" s="20">
        <f>IFERROR(LEFT(B647,SEARCH("_Rev",B647)-1),B647)</f>
        <v/>
      </c>
      <c r="N647" s="20">
        <f>IF(B647="","",IF(ISNUMBER(C647),IF(COUNTIFS($M$3:$M$1026,M647,$C$3:$C$1026,"&gt;"&amp;C647)=0,"CURRENT","SUPERSEDED"),"CURRENT"))</f>
        <v/>
      </c>
      <c r="O647" s="19" t="n"/>
    </row>
    <row r="648">
      <c r="A648" s="19" t="n"/>
      <c r="B648" s="20" t="inlineStr">
        <is>
          <t>4503-XH-DL-8705-8766-5054-IBU-02_Rev0</t>
        </is>
      </c>
      <c r="C648" s="21" t="n">
        <v>0</v>
      </c>
      <c r="D648" s="21" t="inlineStr">
        <is>
          <t>20.08.2026</t>
        </is>
      </c>
      <c r="E648" s="20" t="n"/>
      <c r="F648" s="21" t="n">
        <v>8705</v>
      </c>
      <c r="G648" s="20" t="inlineStr">
        <is>
          <t>PIPE B36.10/36.19 A333 6-SMLS PE PE</t>
        </is>
      </c>
      <c r="H648" s="20" t="inlineStr">
        <is>
          <t>A333</t>
        </is>
      </c>
      <c r="I648" s="22" t="n">
        <v>1</v>
      </c>
      <c r="J648" s="21" t="inlineStr">
        <is>
          <t>XS</t>
        </is>
      </c>
      <c r="K648" s="20" t="inlineStr">
        <is>
          <t>I63649231</t>
        </is>
      </c>
      <c r="L648" s="22" t="n">
        <v>0.3</v>
      </c>
      <c r="M648" s="20">
        <f>IFERROR(LEFT(B648,SEARCH("_Rev",B648)-1),B648)</f>
        <v/>
      </c>
      <c r="N648" s="20">
        <f>IF(B648="","",IF(ISNUMBER(C648),IF(COUNTIFS($M$3:$M$1026,M648,$C$3:$C$1026,"&gt;"&amp;C648)=0,"CURRENT","SUPERSEDED"),"CURRENT"))</f>
        <v/>
      </c>
      <c r="O648" s="19" t="n"/>
    </row>
    <row r="649">
      <c r="A649" s="19" t="n"/>
      <c r="B649" s="20" t="inlineStr">
        <is>
          <t>4503-XH-DL-8705-8766-5054-IBU-03_Rev0</t>
        </is>
      </c>
      <c r="C649" s="21" t="n">
        <v>0</v>
      </c>
      <c r="D649" s="21" t="inlineStr">
        <is>
          <t>20.08.2026</t>
        </is>
      </c>
      <c r="E649" s="20" t="n"/>
      <c r="F649" s="21" t="n">
        <v>8705</v>
      </c>
      <c r="G649" s="20" t="inlineStr">
        <is>
          <t>PIPE B36.10/36.19 A333 6-SMLS BE BE</t>
        </is>
      </c>
      <c r="H649" s="20" t="inlineStr">
        <is>
          <t>A333</t>
        </is>
      </c>
      <c r="I649" s="22" t="n">
        <v>10</v>
      </c>
      <c r="J649" s="21" t="inlineStr">
        <is>
          <t>STD</t>
        </is>
      </c>
      <c r="K649" s="20" t="inlineStr">
        <is>
          <t>I64108754</t>
        </is>
      </c>
      <c r="L649" s="22" t="n">
        <v>23</v>
      </c>
      <c r="M649" s="20">
        <f>IFERROR(LEFT(B649,SEARCH("_Rev",B649)-1),B649)</f>
        <v/>
      </c>
      <c r="N649" s="20">
        <f>IF(B649="","",IF(ISNUMBER(C649),IF(COUNTIFS($M$3:$M$1026,M649,$C$3:$C$1026,"&gt;"&amp;C649)=0,"CURRENT","SUPERSEDED"),"CURRENT"))</f>
        <v/>
      </c>
      <c r="O649" s="19" t="n"/>
    </row>
    <row r="650">
      <c r="A650" s="19" t="n"/>
      <c r="B650" s="20" t="inlineStr">
        <is>
          <t>4503-XH-DL-8705-8772-5072-IPE-01_Rev0</t>
        </is>
      </c>
      <c r="C650" s="21" t="n">
        <v>0</v>
      </c>
      <c r="D650" s="21" t="inlineStr">
        <is>
          <t>20.08.2026</t>
        </is>
      </c>
      <c r="E650" s="20" t="inlineStr">
        <is>
          <t>IFC-ISSUED FOR CONSTRUCTION</t>
        </is>
      </c>
      <c r="F650" s="21" t="n">
        <v>8705</v>
      </c>
      <c r="G650" s="20" t="inlineStr">
        <is>
          <t>PIPE B36.10/36.19 A333 6-SMLS BE BE</t>
        </is>
      </c>
      <c r="H650" s="20" t="inlineStr">
        <is>
          <t>A333</t>
        </is>
      </c>
      <c r="I650" s="22" t="n">
        <v>10</v>
      </c>
      <c r="J650" s="21" t="inlineStr">
        <is>
          <t>STD</t>
        </is>
      </c>
      <c r="K650" s="20" t="inlineStr">
        <is>
          <t>I64108754</t>
        </is>
      </c>
      <c r="L650" s="22" t="n">
        <v>13.9</v>
      </c>
      <c r="M650" s="20">
        <f>IFERROR(LEFT(B650,SEARCH("_Rev",B650)-1),B650)</f>
        <v/>
      </c>
      <c r="N650" s="20">
        <f>IF(B650="","",IF(ISNUMBER(C650),IF(COUNTIFS($M$3:$M$1026,M650,$C$3:$C$1026,"&gt;"&amp;C650)=0,"CURRENT","SUPERSEDED"),"CURRENT"))</f>
        <v/>
      </c>
      <c r="O650" s="19" t="n"/>
    </row>
    <row r="651">
      <c r="A651" s="19" t="n"/>
      <c r="B651" s="20" t="inlineStr">
        <is>
          <t>4503-XH-DL-8705-8772-5072-IPE-01_Rev0</t>
        </is>
      </c>
      <c r="C651" s="21" t="n">
        <v>0</v>
      </c>
      <c r="D651" s="21" t="inlineStr">
        <is>
          <t>20.08.2026</t>
        </is>
      </c>
      <c r="E651" s="20" t="inlineStr">
        <is>
          <t>IFC-ISSUED FOR CONSTRUCTION</t>
        </is>
      </c>
      <c r="F651" s="21" t="n">
        <v>8705</v>
      </c>
      <c r="G651" s="20" t="inlineStr">
        <is>
          <t>PIPE B36.10/36.19 A333 6-SMLS BE BE</t>
        </is>
      </c>
      <c r="H651" s="20" t="inlineStr">
        <is>
          <t>A333</t>
        </is>
      </c>
      <c r="I651" s="22" t="n">
        <v>2</v>
      </c>
      <c r="J651" s="21" t="inlineStr">
        <is>
          <t>XS</t>
        </is>
      </c>
      <c r="K651" s="20" t="inlineStr">
        <is>
          <t>I64108762</t>
        </is>
      </c>
      <c r="L651" s="22" t="n">
        <v>0.1</v>
      </c>
      <c r="M651" s="20">
        <f>IFERROR(LEFT(B651,SEARCH("_Rev",B651)-1),B651)</f>
        <v/>
      </c>
      <c r="N651" s="20">
        <f>IF(B651="","",IF(ISNUMBER(C651),IF(COUNTIFS($M$3:$M$1026,M651,$C$3:$C$1026,"&gt;"&amp;C651)=0,"CURRENT","SUPERSEDED"),"CURRENT"))</f>
        <v/>
      </c>
      <c r="O651" s="19" t="n"/>
    </row>
    <row r="652">
      <c r="A652" s="19" t="n"/>
      <c r="B652" s="20" t="inlineStr">
        <is>
          <t>4503-XH-DL-8705-8772-5072-IPE-02_Rev0</t>
        </is>
      </c>
      <c r="C652" s="21" t="n">
        <v>0</v>
      </c>
      <c r="D652" s="21" t="inlineStr">
        <is>
          <t>20.08.2026</t>
        </is>
      </c>
      <c r="E652" s="20" t="inlineStr">
        <is>
          <t>IFC-ISSUED FOR CONSTRUCTION</t>
        </is>
      </c>
      <c r="F652" s="21" t="n">
        <v>8705</v>
      </c>
      <c r="G652" s="20" t="inlineStr">
        <is>
          <t>PIPE B36.10/36.19 A333 6-SMLS BE BE</t>
        </is>
      </c>
      <c r="H652" s="20" t="inlineStr">
        <is>
          <t>A333</t>
        </is>
      </c>
      <c r="I652" s="22" t="n">
        <v>10</v>
      </c>
      <c r="J652" s="21" t="inlineStr">
        <is>
          <t>STD</t>
        </is>
      </c>
      <c r="K652" s="20" t="inlineStr">
        <is>
          <t>I64108754</t>
        </is>
      </c>
      <c r="L652" s="22" t="n">
        <v>18.2</v>
      </c>
      <c r="M652" s="20">
        <f>IFERROR(LEFT(B652,SEARCH("_Rev",B652)-1),B652)</f>
        <v/>
      </c>
      <c r="N652" s="20">
        <f>IF(B652="","",IF(ISNUMBER(C652),IF(COUNTIFS($M$3:$M$1026,M652,$C$3:$C$1026,"&gt;"&amp;C652)=0,"CURRENT","SUPERSEDED"),"CURRENT"))</f>
        <v/>
      </c>
      <c r="O652" s="19" t="n"/>
    </row>
    <row r="653">
      <c r="A653" s="19" t="n"/>
      <c r="B653" s="20" t="inlineStr">
        <is>
          <t>4503-XH-DL-8705-8772-5072-IPE-02_Rev0</t>
        </is>
      </c>
      <c r="C653" s="21" t="n">
        <v>0</v>
      </c>
      <c r="D653" s="21" t="inlineStr">
        <is>
          <t>20.08.2026</t>
        </is>
      </c>
      <c r="E653" s="20" t="inlineStr">
        <is>
          <t>IFC-ISSUED FOR CONSTRUCTION</t>
        </is>
      </c>
      <c r="F653" s="21" t="n">
        <v>8705</v>
      </c>
      <c r="G653" s="20" t="inlineStr">
        <is>
          <t>PIPE B36.10/36.19 A333 6-SMLS BE BE</t>
        </is>
      </c>
      <c r="H653" s="20" t="inlineStr">
        <is>
          <t>A333</t>
        </is>
      </c>
      <c r="I653" s="22" t="n">
        <v>2</v>
      </c>
      <c r="J653" s="21" t="inlineStr">
        <is>
          <t>XS</t>
        </is>
      </c>
      <c r="K653" s="20" t="inlineStr">
        <is>
          <t>I64108762</t>
        </is>
      </c>
      <c r="L653" s="22" t="n">
        <v>0.9</v>
      </c>
      <c r="M653" s="20">
        <f>IFERROR(LEFT(B653,SEARCH("_Rev",B653)-1),B653)</f>
        <v/>
      </c>
      <c r="N653" s="20">
        <f>IF(B653="","",IF(ISNUMBER(C653),IF(COUNTIFS($M$3:$M$1026,M653,$C$3:$C$1026,"&gt;"&amp;C653)=0,"CURRENT","SUPERSEDED"),"CURRENT"))</f>
        <v/>
      </c>
      <c r="O653" s="19" t="n"/>
    </row>
    <row r="654">
      <c r="A654" s="19" t="n"/>
      <c r="B654" s="20" t="inlineStr">
        <is>
          <t>4503-XH-DL-8705-8772-5072-IPE-02_Rev0</t>
        </is>
      </c>
      <c r="C654" s="21" t="n">
        <v>0</v>
      </c>
      <c r="D654" s="21" t="inlineStr">
        <is>
          <t>20.08.2026</t>
        </is>
      </c>
      <c r="E654" s="20" t="inlineStr">
        <is>
          <t>IFC-ISSUED FOR CONSTRUCTION</t>
        </is>
      </c>
      <c r="F654" s="21" t="n">
        <v>8705</v>
      </c>
      <c r="G654" s="20" t="inlineStr">
        <is>
          <t>PIPE B36.10/36.19 A333 6-SMLS PE PE</t>
        </is>
      </c>
      <c r="H654" s="20" t="inlineStr">
        <is>
          <t>A333</t>
        </is>
      </c>
      <c r="I654" s="22" t="inlineStr">
        <is>
          <t>1/2</t>
        </is>
      </c>
      <c r="J654" s="21" t="inlineStr">
        <is>
          <t>XS</t>
        </is>
      </c>
      <c r="K654" s="20" t="inlineStr">
        <is>
          <t>I63649165</t>
        </is>
      </c>
      <c r="L654" s="22" t="n">
        <v>0.3</v>
      </c>
      <c r="M654" s="20">
        <f>IFERROR(LEFT(B654,SEARCH("_Rev",B654)-1),B654)</f>
        <v/>
      </c>
      <c r="N654" s="20">
        <f>IF(B654="","",IF(ISNUMBER(C654),IF(COUNTIFS($M$3:$M$1026,M654,$C$3:$C$1026,"&gt;"&amp;C654)=0,"CURRENT","SUPERSEDED"),"CURRENT"))</f>
        <v/>
      </c>
      <c r="O654" s="19" t="n"/>
    </row>
    <row r="655">
      <c r="A655" s="19" t="n"/>
      <c r="B655" s="20" t="inlineStr">
        <is>
          <t>4503-XH-DL-8705-8772-5072-IPE-03_Rev0</t>
        </is>
      </c>
      <c r="C655" s="21" t="n">
        <v>0</v>
      </c>
      <c r="D655" s="21" t="inlineStr">
        <is>
          <t>20.08.2026</t>
        </is>
      </c>
      <c r="E655" s="20" t="inlineStr">
        <is>
          <t>IFC-ISSUED FOR CONSTRUCTION</t>
        </is>
      </c>
      <c r="F655" s="21" t="n">
        <v>8705</v>
      </c>
      <c r="G655" s="20" t="inlineStr">
        <is>
          <t>PIPE B36.10/36.19 A333 6-SMLS BE BE</t>
        </is>
      </c>
      <c r="H655" s="20" t="inlineStr">
        <is>
          <t>A333</t>
        </is>
      </c>
      <c r="I655" s="22" t="n">
        <v>10</v>
      </c>
      <c r="J655" s="21" t="inlineStr">
        <is>
          <t>STD</t>
        </is>
      </c>
      <c r="K655" s="20" t="inlineStr">
        <is>
          <t>I64108754</t>
        </is>
      </c>
      <c r="L655" s="22" t="n">
        <v>28.4</v>
      </c>
      <c r="M655" s="20">
        <f>IFERROR(LEFT(B655,SEARCH("_Rev",B655)-1),B655)</f>
        <v/>
      </c>
      <c r="N655" s="20">
        <f>IF(B655="","",IF(ISNUMBER(C655),IF(COUNTIFS($M$3:$M$1026,M655,$C$3:$C$1026,"&gt;"&amp;C655)=0,"CURRENT","SUPERSEDED"),"CURRENT"))</f>
        <v/>
      </c>
      <c r="O655" s="19" t="n"/>
    </row>
    <row r="656">
      <c r="A656" s="19" t="n"/>
      <c r="B656" s="20" t="inlineStr">
        <is>
          <t>4503-XH-DL-8793-8776-5005-HE-01_Rev0</t>
        </is>
      </c>
      <c r="C656" s="21" t="n">
        <v>0</v>
      </c>
      <c r="D656" s="21" t="n">
        <v>46254</v>
      </c>
      <c r="E656" s="20" t="n"/>
      <c r="F656" s="21" t="n">
        <v>8793</v>
      </c>
      <c r="G656" s="20" t="inlineStr">
        <is>
          <t>PIPE B36.10/36.19 A333 6-SMLS BE BE</t>
        </is>
      </c>
      <c r="H656" s="20" t="inlineStr">
        <is>
          <t>A333</t>
        </is>
      </c>
      <c r="I656" s="22" t="n">
        <v>6</v>
      </c>
      <c r="J656" s="21" t="inlineStr">
        <is>
          <t>STD</t>
        </is>
      </c>
      <c r="K656" s="20" t="inlineStr">
        <is>
          <t>I63649156</t>
        </is>
      </c>
      <c r="L656" s="22" t="n">
        <v>2.1</v>
      </c>
      <c r="M656" s="20">
        <f>IFERROR(LEFT(B656,SEARCH("_Rev",B656)-1),B656)</f>
        <v/>
      </c>
      <c r="N656" s="20">
        <f>IF(B656="","",IF(ISNUMBER(C656),IF(COUNTIFS($M$3:$M$1026,M656,$C$3:$C$1026,"&gt;"&amp;C656)=0,"CURRENT","SUPERSEDED"),"CURRENT"))</f>
        <v/>
      </c>
      <c r="O656" s="19" t="n"/>
    </row>
    <row r="657">
      <c r="A657" s="19" t="n"/>
      <c r="B657" s="20" t="inlineStr">
        <is>
          <t>4503-XH-DL-8793-8776-5078-HE-01_Rev0</t>
        </is>
      </c>
      <c r="C657" s="21" t="n">
        <v>0</v>
      </c>
      <c r="D657" s="21" t="inlineStr">
        <is>
          <t>20.08.2026</t>
        </is>
      </c>
      <c r="E657" s="20" t="n"/>
      <c r="F657" s="21" t="n">
        <v>8793</v>
      </c>
      <c r="G657" s="20" t="inlineStr">
        <is>
          <t>PIPE B36.10/36.19 A333 6-SMLS BE BE</t>
        </is>
      </c>
      <c r="H657" s="20" t="inlineStr">
        <is>
          <t>A333</t>
        </is>
      </c>
      <c r="I657" s="22" t="n">
        <v>6</v>
      </c>
      <c r="J657" s="21" t="inlineStr">
        <is>
          <t>STD</t>
        </is>
      </c>
      <c r="K657" s="20" t="inlineStr">
        <is>
          <t>I63649156</t>
        </is>
      </c>
      <c r="L657" s="22" t="n">
        <v>67.7</v>
      </c>
      <c r="M657" s="20">
        <f>IFERROR(LEFT(B657,SEARCH("_Rev",B657)-1),B657)</f>
        <v/>
      </c>
      <c r="N657" s="20">
        <f>IF(B657="","",IF(ISNUMBER(C657),IF(COUNTIFS($M$3:$M$1026,M657,$C$3:$C$1026,"&gt;"&amp;C657)=0,"CURRENT","SUPERSEDED"),"CURRENT"))</f>
        <v/>
      </c>
      <c r="O657" s="19" t="n"/>
    </row>
    <row r="658">
      <c r="A658" s="19" t="n"/>
      <c r="B658" s="20" t="inlineStr">
        <is>
          <t>4503-XH-DL-8793-8776-5086-HE-01_Rev0</t>
        </is>
      </c>
      <c r="C658" s="21" t="n">
        <v>0</v>
      </c>
      <c r="D658" s="21" t="inlineStr">
        <is>
          <t>20.08.2026</t>
        </is>
      </c>
      <c r="E658" s="20" t="n"/>
      <c r="F658" s="21" t="n">
        <v>8793</v>
      </c>
      <c r="G658" s="20" t="inlineStr">
        <is>
          <t>PIPE B36.10/36.19 A333 6-SMLS BE BE</t>
        </is>
      </c>
      <c r="H658" s="20" t="inlineStr">
        <is>
          <t>A333</t>
        </is>
      </c>
      <c r="I658" s="22" t="n">
        <v>6</v>
      </c>
      <c r="J658" s="21" t="inlineStr">
        <is>
          <t>STD</t>
        </is>
      </c>
      <c r="K658" s="20" t="inlineStr">
        <is>
          <t>I63649156</t>
        </is>
      </c>
      <c r="L658" s="22" t="n">
        <v>2.1</v>
      </c>
      <c r="M658" s="20">
        <f>IFERROR(LEFT(B658,SEARCH("_Rev",B658)-1),B658)</f>
        <v/>
      </c>
      <c r="N658" s="20">
        <f>IF(B658="","",IF(ISNUMBER(C658),IF(COUNTIFS($M$3:$M$1026,M658,$C$3:$C$1026,"&gt;"&amp;C658)=0,"CURRENT","SUPERSEDED"),"CURRENT"))</f>
        <v/>
      </c>
      <c r="O658" s="19" t="n"/>
    </row>
    <row r="659">
      <c r="A659" s="19" t="n"/>
      <c r="B659" s="20" t="inlineStr">
        <is>
          <t>4503-XH-DL-8901-8953-5003-PA-02_Rev0</t>
        </is>
      </c>
      <c r="C659" s="21" t="n">
        <v>0</v>
      </c>
      <c r="D659" s="21" t="n">
        <v>46242</v>
      </c>
      <c r="E659" s="20" t="inlineStr">
        <is>
          <t>IFC - ISSUED FOR CONSTRUCTION</t>
        </is>
      </c>
      <c r="F659" s="21" t="n">
        <v>8901</v>
      </c>
      <c r="G659" s="20" t="inlineStr">
        <is>
          <t>PIPE B36.10/36.19 A333 6-SMLS BE BE</t>
        </is>
      </c>
      <c r="H659" s="20" t="inlineStr">
        <is>
          <t>A333</t>
        </is>
      </c>
      <c r="I659" s="22" t="n">
        <v>2</v>
      </c>
      <c r="J659" s="21" t="inlineStr">
        <is>
          <t>XS</t>
        </is>
      </c>
      <c r="K659" s="20" t="inlineStr">
        <is>
          <t>I64108762</t>
        </is>
      </c>
      <c r="L659" s="22" t="n">
        <v>38.3</v>
      </c>
      <c r="M659" s="20">
        <f>IFERROR(LEFT(B659,SEARCH("_Rev",B659)-1),B659)</f>
        <v/>
      </c>
      <c r="N659" s="20">
        <f>IF(B659="","",IF(ISNUMBER(C659),IF(COUNTIFS($M$3:$M$1026,M659,$C$3:$C$1026,"&gt;"&amp;C659)=0,"CURRENT","SUPERSEDED"),"CURRENT"))</f>
        <v/>
      </c>
      <c r="O659" s="19" t="n"/>
    </row>
    <row r="660">
      <c r="A660" s="19" t="n"/>
      <c r="B660" s="20" t="inlineStr">
        <is>
          <t>4503-XH-DL-8901-8953-5003-PA-03_Rev0</t>
        </is>
      </c>
      <c r="C660" s="21" t="n">
        <v>0</v>
      </c>
      <c r="D660" s="21" t="inlineStr">
        <is>
          <t>08.08.2026</t>
        </is>
      </c>
      <c r="E660" s="20" t="inlineStr">
        <is>
          <t>IFC - ISSUED FOR CONSTRUCTION</t>
        </is>
      </c>
      <c r="F660" s="21" t="n">
        <v>8901</v>
      </c>
      <c r="G660" s="20" t="inlineStr">
        <is>
          <t>PIPE B36.10/36.19 A333 6-SMLS BE BE</t>
        </is>
      </c>
      <c r="H660" s="20" t="inlineStr">
        <is>
          <t>A333</t>
        </is>
      </c>
      <c r="I660" s="22" t="n">
        <v>2</v>
      </c>
      <c r="J660" s="21" t="inlineStr">
        <is>
          <t>XS</t>
        </is>
      </c>
      <c r="K660" s="20" t="inlineStr">
        <is>
          <t>I64108762</t>
        </is>
      </c>
      <c r="L660" s="22" t="n">
        <v>54.4</v>
      </c>
      <c r="M660" s="20">
        <f>IFERROR(LEFT(B660,SEARCH("_Rev",B660)-1),B660)</f>
        <v/>
      </c>
      <c r="N660" s="20">
        <f>IF(B660="","",IF(ISNUMBER(C660),IF(COUNTIFS($M$3:$M$1026,M660,$C$3:$C$1026,"&gt;"&amp;C660)=0,"CURRENT","SUPERSEDED"),"CURRENT"))</f>
        <v/>
      </c>
      <c r="O660" s="19" t="n"/>
    </row>
    <row r="661">
      <c r="A661" s="19" t="n"/>
      <c r="B661" s="20" t="inlineStr">
        <is>
          <t>4503-XH-DL-8902-8953-5003-PA-01_Rev0</t>
        </is>
      </c>
      <c r="C661" s="21" t="n">
        <v>0</v>
      </c>
      <c r="D661" s="21" t="inlineStr">
        <is>
          <t>08.08.2026</t>
        </is>
      </c>
      <c r="E661" s="20" t="inlineStr">
        <is>
          <t>IFC - ISSUED FOR CONSTRUCTION</t>
        </is>
      </c>
      <c r="F661" s="21" t="n">
        <v>8902</v>
      </c>
      <c r="G661" s="20" t="inlineStr">
        <is>
          <t>PIPE B36.10/36.19 A333 6-SMLS BE BE</t>
        </is>
      </c>
      <c r="H661" s="20" t="inlineStr">
        <is>
          <t>A333</t>
        </is>
      </c>
      <c r="I661" s="22" t="n">
        <v>2</v>
      </c>
      <c r="J661" s="21" t="inlineStr">
        <is>
          <t>XS</t>
        </is>
      </c>
      <c r="K661" s="20" t="inlineStr">
        <is>
          <t>I64108762</t>
        </is>
      </c>
      <c r="L661" s="22" t="n">
        <v>11.5</v>
      </c>
      <c r="M661" s="20">
        <f>IFERROR(LEFT(B661,SEARCH("_Rev",B661)-1),B661)</f>
        <v/>
      </c>
      <c r="N661" s="20">
        <f>IF(B661="","",IF(ISNUMBER(C661),IF(COUNTIFS($M$3:$M$1026,M661,$C$3:$C$1026,"&gt;"&amp;C661)=0,"CURRENT","SUPERSEDED"),"CURRENT"))</f>
        <v/>
      </c>
      <c r="O661" s="19" t="n"/>
    </row>
    <row r="662">
      <c r="A662" s="19" t="n"/>
      <c r="B662" s="20" t="inlineStr">
        <is>
          <t>4503-XH-DL-8902-8953-5003-PA-02_Rev0</t>
        </is>
      </c>
      <c r="C662" s="21" t="n">
        <v>0</v>
      </c>
      <c r="D662" s="21" t="n">
        <v>46242</v>
      </c>
      <c r="E662" s="20" t="inlineStr">
        <is>
          <t>IFC - ISSUED FOR CONSTRUCTION</t>
        </is>
      </c>
      <c r="F662" s="21" t="n">
        <v>8902</v>
      </c>
      <c r="G662" s="20" t="inlineStr">
        <is>
          <t>PIPE B36.10/36.19 A333 6-SMLS BE BE</t>
        </is>
      </c>
      <c r="H662" s="20" t="inlineStr">
        <is>
          <t>A333</t>
        </is>
      </c>
      <c r="I662" s="22" t="n">
        <v>3</v>
      </c>
      <c r="J662" s="21" t="inlineStr">
        <is>
          <t>STD</t>
        </is>
      </c>
      <c r="K662" s="20" t="inlineStr">
        <is>
          <t>I63649171</t>
        </is>
      </c>
      <c r="L662" s="22" t="n">
        <v>49.1</v>
      </c>
      <c r="M662" s="20">
        <f>IFERROR(LEFT(B662,SEARCH("_Rev",B662)-1),B662)</f>
        <v/>
      </c>
      <c r="N662" s="20">
        <f>IF(B662="","",IF(ISNUMBER(C662),IF(COUNTIFS($M$3:$M$1026,M662,$C$3:$C$1026,"&gt;"&amp;C662)=0,"CURRENT","SUPERSEDED"),"CURRENT"))</f>
        <v/>
      </c>
      <c r="O662" s="19" t="n"/>
    </row>
    <row r="663">
      <c r="A663" s="19" t="n"/>
      <c r="B663" s="20" t="inlineStr">
        <is>
          <t>4503-XH-DL-8902-8953-5003-PA-02_Rev0</t>
        </is>
      </c>
      <c r="C663" s="21" t="n">
        <v>0</v>
      </c>
      <c r="D663" s="21" t="inlineStr">
        <is>
          <t>08.08.2026</t>
        </is>
      </c>
      <c r="E663" s="20" t="inlineStr">
        <is>
          <t>IFC - ISSUED FOR CONSTRUCTION</t>
        </is>
      </c>
      <c r="F663" s="21" t="n">
        <v>8902</v>
      </c>
      <c r="G663" s="20" t="inlineStr">
        <is>
          <t>PIPE B36.10/36.19 A333 6-SMLS BE BE</t>
        </is>
      </c>
      <c r="H663" s="20" t="inlineStr">
        <is>
          <t>A333</t>
        </is>
      </c>
      <c r="I663" s="22" t="n">
        <v>2</v>
      </c>
      <c r="J663" s="21" t="inlineStr">
        <is>
          <t>XS</t>
        </is>
      </c>
      <c r="K663" s="20" t="inlineStr">
        <is>
          <t>I64108762</t>
        </is>
      </c>
      <c r="L663" s="22" t="n">
        <v>7.7</v>
      </c>
      <c r="M663" s="20">
        <f>IFERROR(LEFT(B663,SEARCH("_Rev",B663)-1),B663)</f>
        <v/>
      </c>
      <c r="N663" s="20">
        <f>IF(B663="","",IF(ISNUMBER(C663),IF(COUNTIFS($M$3:$M$1026,M663,$C$3:$C$1026,"&gt;"&amp;C663)=0,"CURRENT","SUPERSEDED"),"CURRENT"))</f>
        <v/>
      </c>
      <c r="O663" s="19" t="n"/>
    </row>
    <row r="664">
      <c r="A664" s="19" t="n"/>
      <c r="B664" s="20" t="inlineStr">
        <is>
          <t>4503-XH-DL-8902-8953-5003-PA-03_Rev0</t>
        </is>
      </c>
      <c r="C664" s="21" t="n">
        <v>0</v>
      </c>
      <c r="D664" s="21" t="inlineStr">
        <is>
          <t>08.08.2026</t>
        </is>
      </c>
      <c r="E664" s="20" t="inlineStr">
        <is>
          <t>IFC - ISSUED FOR CONSTRUCTION</t>
        </is>
      </c>
      <c r="F664" s="21" t="n">
        <v>8902</v>
      </c>
      <c r="G664" s="20" t="inlineStr">
        <is>
          <t>PIPE B36.10/36.19 A333 6-SMLS BE BE</t>
        </is>
      </c>
      <c r="H664" s="20" t="inlineStr">
        <is>
          <t>A333</t>
        </is>
      </c>
      <c r="I664" s="22" t="n">
        <v>3</v>
      </c>
      <c r="J664" s="21" t="inlineStr">
        <is>
          <t>STD</t>
        </is>
      </c>
      <c r="K664" s="20" t="inlineStr">
        <is>
          <t>I63649171</t>
        </is>
      </c>
      <c r="L664" s="22" t="n">
        <v>63.5</v>
      </c>
      <c r="M664" s="20">
        <f>IFERROR(LEFT(B664,SEARCH("_Rev",B664)-1),B664)</f>
        <v/>
      </c>
      <c r="N664" s="20">
        <f>IF(B664="","",IF(ISNUMBER(C664),IF(COUNTIFS($M$3:$M$1026,M664,$C$3:$C$1026,"&gt;"&amp;C664)=0,"CURRENT","SUPERSEDED"),"CURRENT"))</f>
        <v/>
      </c>
      <c r="O664" s="19" t="n"/>
    </row>
    <row r="665">
      <c r="A665" s="19" t="n"/>
      <c r="B665" s="20" t="inlineStr">
        <is>
          <t>4503-XH-DL-8902-8953-5003-PA-04_Rev0</t>
        </is>
      </c>
      <c r="C665" s="21" t="n">
        <v>0</v>
      </c>
      <c r="D665" s="21" t="inlineStr">
        <is>
          <t>08.08.2026</t>
        </is>
      </c>
      <c r="E665" s="20" t="inlineStr">
        <is>
          <t>IFC - ISSUED FOR CONSTRUCTION</t>
        </is>
      </c>
      <c r="F665" s="21" t="n">
        <v>8902</v>
      </c>
      <c r="G665" s="20" t="inlineStr">
        <is>
          <t>PIPE B36.10/36.19 A333 6-SMLS BE BE</t>
        </is>
      </c>
      <c r="H665" s="20" t="inlineStr">
        <is>
          <t>A333</t>
        </is>
      </c>
      <c r="I665" s="22" t="n">
        <v>2</v>
      </c>
      <c r="J665" s="21" t="inlineStr">
        <is>
          <t>XS</t>
        </is>
      </c>
      <c r="K665" s="20" t="inlineStr">
        <is>
          <t>I64108762</t>
        </is>
      </c>
      <c r="L665" s="22" t="n">
        <v>20.3</v>
      </c>
      <c r="M665" s="20">
        <f>IFERROR(LEFT(B665,SEARCH("_Rev",B665)-1),B665)</f>
        <v/>
      </c>
      <c r="N665" s="20">
        <f>IF(B665="","",IF(ISNUMBER(C665),IF(COUNTIFS($M$3:$M$1026,M665,$C$3:$C$1026,"&gt;"&amp;C665)=0,"CURRENT","SUPERSEDED"),"CURRENT"))</f>
        <v/>
      </c>
      <c r="O665" s="19" t="n"/>
    </row>
    <row r="666">
      <c r="A666" s="19" t="n"/>
      <c r="B666" s="20" t="inlineStr">
        <is>
          <t>4503-XH-DL-8902-8953-5003-PA-05_Rev0</t>
        </is>
      </c>
      <c r="C666" s="21" t="n">
        <v>0</v>
      </c>
      <c r="D666" s="21" t="inlineStr">
        <is>
          <t>08.08.2026</t>
        </is>
      </c>
      <c r="E666" s="20" t="inlineStr">
        <is>
          <t>IFC - ISSUED FOR CONSTRUCTION</t>
        </is>
      </c>
      <c r="F666" s="21" t="n">
        <v>8902</v>
      </c>
      <c r="G666" s="20" t="inlineStr">
        <is>
          <t>PIPE B36.10/36.19 A333 6-SMLS BE BE</t>
        </is>
      </c>
      <c r="H666" s="20" t="inlineStr">
        <is>
          <t>A333</t>
        </is>
      </c>
      <c r="I666" s="22" t="n">
        <v>2</v>
      </c>
      <c r="J666" s="21" t="inlineStr">
        <is>
          <t>XS</t>
        </is>
      </c>
      <c r="K666" s="20" t="inlineStr">
        <is>
          <t>I64108762</t>
        </is>
      </c>
      <c r="L666" s="22" t="n">
        <v>29.5</v>
      </c>
      <c r="M666" s="20">
        <f>IFERROR(LEFT(B666,SEARCH("_Rev",B666)-1),B666)</f>
        <v/>
      </c>
      <c r="N666" s="20">
        <f>IF(B666="","",IF(ISNUMBER(C666),IF(COUNTIFS($M$3:$M$1026,M666,$C$3:$C$1026,"&gt;"&amp;C666)=0,"CURRENT","SUPERSEDED"),"CURRENT"))</f>
        <v/>
      </c>
      <c r="O666" s="19" t="n"/>
    </row>
    <row r="667">
      <c r="A667" s="19" t="n"/>
      <c r="B667" s="20" t="inlineStr">
        <is>
          <t>4503-XH-DL-8902-8953-5014-PA-01_Rev0</t>
        </is>
      </c>
      <c r="C667" s="21" t="n">
        <v>0</v>
      </c>
      <c r="D667" s="21" t="inlineStr">
        <is>
          <t>08.08.2026</t>
        </is>
      </c>
      <c r="E667" s="20" t="inlineStr">
        <is>
          <t>IFC - ISSUED FOR CONSTRUCTION</t>
        </is>
      </c>
      <c r="F667" s="21" t="n">
        <v>8902</v>
      </c>
      <c r="G667" s="20" t="inlineStr">
        <is>
          <t>PIPE B36.10/36.19 A333 6-SMLS BE BE</t>
        </is>
      </c>
      <c r="H667" s="20" t="inlineStr">
        <is>
          <t>A333</t>
        </is>
      </c>
      <c r="I667" s="22" t="n">
        <v>3</v>
      </c>
      <c r="J667" s="21" t="inlineStr">
        <is>
          <t>STD</t>
        </is>
      </c>
      <c r="K667" s="20" t="inlineStr">
        <is>
          <t>I63649171</t>
        </is>
      </c>
      <c r="L667" s="22" t="n">
        <v>9.300000000000001</v>
      </c>
      <c r="M667" s="20">
        <f>IFERROR(LEFT(B667,SEARCH("_Rev",B667)-1),B667)</f>
        <v/>
      </c>
      <c r="N667" s="20">
        <f>IF(B667="","",IF(ISNUMBER(C667),IF(COUNTIFS($M$3:$M$1026,M667,$C$3:$C$1026,"&gt;"&amp;C667)=0,"CURRENT","SUPERSEDED"),"CURRENT"))</f>
        <v/>
      </c>
      <c r="O667" s="19" t="n"/>
    </row>
    <row r="668">
      <c r="A668" s="19" t="n"/>
      <c r="B668" s="20" t="inlineStr">
        <is>
          <t>4503-XH-DL-8902-8981-5004-WW22-01_Rev0</t>
        </is>
      </c>
      <c r="C668" s="21" t="n">
        <v>0</v>
      </c>
      <c r="D668" s="21" t="inlineStr">
        <is>
          <t>14.08.2026</t>
        </is>
      </c>
      <c r="E668" s="20" t="inlineStr">
        <is>
          <t>IFC - ISSUED FOR CONSTRUCTION</t>
        </is>
      </c>
      <c r="F668" s="21" t="n">
        <v>8902</v>
      </c>
      <c r="G668" s="20" t="inlineStr">
        <is>
          <t>PIPE B36.10/36.19 A333 6-SMLS BE BE</t>
        </is>
      </c>
      <c r="H668" s="20" t="inlineStr">
        <is>
          <t>A333</t>
        </is>
      </c>
      <c r="I668" s="22" t="n">
        <v>16</v>
      </c>
      <c r="J668" s="21" t="inlineStr">
        <is>
          <t>STD</t>
        </is>
      </c>
      <c r="K668" s="20" t="inlineStr">
        <is>
          <t>I65585719</t>
        </is>
      </c>
      <c r="L668" s="22" t="n">
        <v>48</v>
      </c>
      <c r="M668" s="20">
        <f>IFERROR(LEFT(B668,SEARCH("_Rev",B668)-1),B668)</f>
        <v/>
      </c>
      <c r="N668" s="20">
        <f>IF(B668="","",IF(ISNUMBER(C668),IF(COUNTIFS($M$3:$M$1026,M668,$C$3:$C$1026,"&gt;"&amp;C668)=0,"CURRENT","SUPERSEDED"),"CURRENT"))</f>
        <v/>
      </c>
      <c r="O668" s="19" t="n"/>
    </row>
    <row r="669">
      <c r="A669" s="19" t="n"/>
      <c r="B669" s="20" t="inlineStr">
        <is>
          <t>4503-XH-DL-8902-8981-5004-WW22-02_Rev0</t>
        </is>
      </c>
      <c r="C669" s="21" t="n">
        <v>0</v>
      </c>
      <c r="D669" s="21" t="n">
        <v>46248</v>
      </c>
      <c r="E669" s="20" t="inlineStr">
        <is>
          <t>IFC - ISSUED FOR CONSTRUCTION</t>
        </is>
      </c>
      <c r="F669" s="21" t="n">
        <v>8902</v>
      </c>
      <c r="G669" s="20" t="inlineStr">
        <is>
          <t>PIPE B36.10/36.19 A333 6-SMLS BE BE</t>
        </is>
      </c>
      <c r="H669" s="20" t="inlineStr">
        <is>
          <t>A333</t>
        </is>
      </c>
      <c r="I669" s="22" t="n">
        <v>16</v>
      </c>
      <c r="J669" s="21" t="inlineStr">
        <is>
          <t>STD</t>
        </is>
      </c>
      <c r="K669" s="20" t="inlineStr">
        <is>
          <t>I65585719</t>
        </is>
      </c>
      <c r="L669" s="22" t="n">
        <v>57.1</v>
      </c>
      <c r="M669" s="20">
        <f>IFERROR(LEFT(B669,SEARCH("_Rev",B669)-1),B669)</f>
        <v/>
      </c>
      <c r="N669" s="20">
        <f>IF(B669="","",IF(ISNUMBER(C669),IF(COUNTIFS($M$3:$M$1026,M669,$C$3:$C$1026,"&gt;"&amp;C669)=0,"CURRENT","SUPERSEDED"),"CURRENT"))</f>
        <v/>
      </c>
      <c r="O669" s="19" t="n"/>
    </row>
    <row r="670">
      <c r="A670" s="19" t="n"/>
      <c r="B670" s="20" t="inlineStr">
        <is>
          <t>4503-XH-DL-8902-8981-5004-WW22-03_Rev0</t>
        </is>
      </c>
      <c r="C670" s="21" t="n">
        <v>0</v>
      </c>
      <c r="D670" s="21" t="inlineStr">
        <is>
          <t>14.08.2026</t>
        </is>
      </c>
      <c r="E670" s="20" t="inlineStr">
        <is>
          <t>IFC - ISSUED FOR CONSTRUCTION</t>
        </is>
      </c>
      <c r="F670" s="21" t="n">
        <v>8902</v>
      </c>
      <c r="G670" s="20" t="inlineStr">
        <is>
          <t>PIPE B36.10/36.19 A333 6-SMLS BE BE</t>
        </is>
      </c>
      <c r="H670" s="20" t="inlineStr">
        <is>
          <t>A333</t>
        </is>
      </c>
      <c r="I670" s="22" t="n">
        <v>16</v>
      </c>
      <c r="J670" s="21" t="inlineStr">
        <is>
          <t>STD</t>
        </is>
      </c>
      <c r="K670" s="20" t="inlineStr">
        <is>
          <t>I65585719</t>
        </is>
      </c>
      <c r="L670" s="22" t="n">
        <v>63.5</v>
      </c>
      <c r="M670" s="20">
        <f>IFERROR(LEFT(B670,SEARCH("_Rev",B670)-1),B670)</f>
        <v/>
      </c>
      <c r="N670" s="20">
        <f>IF(B670="","",IF(ISNUMBER(C670),IF(COUNTIFS($M$3:$M$1026,M670,$C$3:$C$1026,"&gt;"&amp;C670)=0,"CURRENT","SUPERSEDED"),"CURRENT"))</f>
        <v/>
      </c>
      <c r="O670" s="19" t="n"/>
    </row>
    <row r="671">
      <c r="A671" s="19" t="n"/>
      <c r="B671" s="20" t="inlineStr">
        <is>
          <t>4503-XH-DL-8903-8953-5003-PA-01_Rev0</t>
        </is>
      </c>
      <c r="C671" s="21" t="n">
        <v>0</v>
      </c>
      <c r="D671" s="21" t="n">
        <v>46242</v>
      </c>
      <c r="E671" s="20" t="inlineStr">
        <is>
          <t>IFC - ISSUED FOR CONSTRUCTION</t>
        </is>
      </c>
      <c r="F671" s="21" t="n">
        <v>8903</v>
      </c>
      <c r="G671" s="20" t="inlineStr">
        <is>
          <t>PIPE B36.10/36.19 A333 6-SMLS BE BE</t>
        </is>
      </c>
      <c r="H671" s="20" t="inlineStr">
        <is>
          <t>A333</t>
        </is>
      </c>
      <c r="I671" s="22" t="n">
        <v>6</v>
      </c>
      <c r="J671" s="21" t="inlineStr">
        <is>
          <t>STD</t>
        </is>
      </c>
      <c r="K671" s="20" t="inlineStr">
        <is>
          <t>I63649156</t>
        </is>
      </c>
      <c r="L671" s="22" t="n">
        <v>35.6</v>
      </c>
      <c r="M671" s="20">
        <f>IFERROR(LEFT(B671,SEARCH("_Rev",B671)-1),B671)</f>
        <v/>
      </c>
      <c r="N671" s="20">
        <f>IF(B671="","",IF(ISNUMBER(C671),IF(COUNTIFS($M$3:$M$1026,M671,$C$3:$C$1026,"&gt;"&amp;C671)=0,"CURRENT","SUPERSEDED"),"CURRENT"))</f>
        <v/>
      </c>
      <c r="O671" s="19" t="n"/>
    </row>
    <row r="672">
      <c r="A672" s="19" t="n"/>
      <c r="B672" s="20" t="inlineStr">
        <is>
          <t>4503-XH-DL-8903-8953-5003-PA-01_Rev0</t>
        </is>
      </c>
      <c r="C672" s="21" t="n">
        <v>0</v>
      </c>
      <c r="D672" s="21" t="inlineStr">
        <is>
          <t>08.08.2026</t>
        </is>
      </c>
      <c r="E672" s="20" t="inlineStr">
        <is>
          <t>IFC - ISSUED FOR CONSTRUCTION</t>
        </is>
      </c>
      <c r="F672" s="21" t="n">
        <v>8903</v>
      </c>
      <c r="G672" s="20" t="inlineStr">
        <is>
          <t>PIPE B36.10/36.19 A333 6-SMLS BE BE</t>
        </is>
      </c>
      <c r="H672" s="20" t="inlineStr">
        <is>
          <t>A333</t>
        </is>
      </c>
      <c r="I672" s="22" t="n">
        <v>3</v>
      </c>
      <c r="J672" s="21" t="inlineStr">
        <is>
          <t>STD</t>
        </is>
      </c>
      <c r="K672" s="20" t="inlineStr">
        <is>
          <t>I63649171</t>
        </is>
      </c>
      <c r="L672" s="22" t="n">
        <v>13</v>
      </c>
      <c r="M672" s="20">
        <f>IFERROR(LEFT(B672,SEARCH("_Rev",B672)-1),B672)</f>
        <v/>
      </c>
      <c r="N672" s="20">
        <f>IF(B672="","",IF(ISNUMBER(C672),IF(COUNTIFS($M$3:$M$1026,M672,$C$3:$C$1026,"&gt;"&amp;C672)=0,"CURRENT","SUPERSEDED"),"CURRENT"))</f>
        <v/>
      </c>
      <c r="O672" s="19" t="n"/>
    </row>
    <row r="673">
      <c r="A673" s="19" t="n"/>
      <c r="B673" s="20" t="inlineStr">
        <is>
          <t>4503-XH-DL-8903-8953-5003-PA-02_Rev0</t>
        </is>
      </c>
      <c r="C673" s="21" t="n">
        <v>0</v>
      </c>
      <c r="D673" s="21" t="inlineStr">
        <is>
          <t>08.08.2026</t>
        </is>
      </c>
      <c r="E673" s="20" t="inlineStr">
        <is>
          <t>IFC - ISSUED FOR CONSTRUCTION</t>
        </is>
      </c>
      <c r="F673" s="21" t="n">
        <v>8903</v>
      </c>
      <c r="G673" s="20" t="inlineStr">
        <is>
          <t>PIPE B36.10/36.19 A333 6-SMLS BE BE</t>
        </is>
      </c>
      <c r="H673" s="20" t="inlineStr">
        <is>
          <t>A333</t>
        </is>
      </c>
      <c r="I673" s="22" t="n">
        <v>6</v>
      </c>
      <c r="J673" s="21" t="inlineStr">
        <is>
          <t>STD</t>
        </is>
      </c>
      <c r="K673" s="20" t="inlineStr">
        <is>
          <t>I63649156</t>
        </is>
      </c>
      <c r="L673" s="22" t="n">
        <v>59.8</v>
      </c>
      <c r="M673" s="20">
        <f>IFERROR(LEFT(B673,SEARCH("_Rev",B673)-1),B673)</f>
        <v/>
      </c>
      <c r="N673" s="20">
        <f>IF(B673="","",IF(ISNUMBER(C673),IF(COUNTIFS($M$3:$M$1026,M673,$C$3:$C$1026,"&gt;"&amp;C673)=0,"CURRENT","SUPERSEDED"),"CURRENT"))</f>
        <v/>
      </c>
      <c r="O673" s="19" t="n"/>
    </row>
    <row r="674">
      <c r="A674" s="19" t="n"/>
      <c r="B674" s="20" t="inlineStr">
        <is>
          <t>4503-XH-DL-8903-8953-5003-PA-03_Rev0</t>
        </is>
      </c>
      <c r="C674" s="21" t="n">
        <v>0</v>
      </c>
      <c r="D674" s="21" t="inlineStr">
        <is>
          <t>08.08.2026</t>
        </is>
      </c>
      <c r="E674" s="20" t="inlineStr">
        <is>
          <t>IFC - ISSUED FOR CONSTRUCTION</t>
        </is>
      </c>
      <c r="F674" s="21" t="n">
        <v>8903</v>
      </c>
      <c r="G674" s="20" t="inlineStr">
        <is>
          <t>PIPE B36.10/36.19 A333 6-SMLS BE BE</t>
        </is>
      </c>
      <c r="H674" s="20" t="inlineStr">
        <is>
          <t>A333</t>
        </is>
      </c>
      <c r="I674" s="22" t="n">
        <v>6</v>
      </c>
      <c r="J674" s="21" t="inlineStr">
        <is>
          <t>STD</t>
        </is>
      </c>
      <c r="K674" s="20" t="inlineStr">
        <is>
          <t>I63649156</t>
        </is>
      </c>
      <c r="L674" s="22" t="n">
        <v>56</v>
      </c>
      <c r="M674" s="20">
        <f>IFERROR(LEFT(B674,SEARCH("_Rev",B674)-1),B674)</f>
        <v/>
      </c>
      <c r="N674" s="20">
        <f>IF(B674="","",IF(ISNUMBER(C674),IF(COUNTIFS($M$3:$M$1026,M674,$C$3:$C$1026,"&gt;"&amp;C674)=0,"CURRENT","SUPERSEDED"),"CURRENT"))</f>
        <v/>
      </c>
      <c r="O674" s="19" t="n"/>
    </row>
    <row r="675">
      <c r="A675" s="19" t="n"/>
      <c r="B675" s="20" t="inlineStr">
        <is>
          <t>4503-XH-DL-8903-8953-5003-PA-04_Rev0</t>
        </is>
      </c>
      <c r="C675" s="21" t="n">
        <v>0</v>
      </c>
      <c r="D675" s="21" t="inlineStr">
        <is>
          <t>08.08.2026</t>
        </is>
      </c>
      <c r="E675" s="20" t="inlineStr">
        <is>
          <t>IFC - ISSUED FOR CONSTRUCTION</t>
        </is>
      </c>
      <c r="F675" s="21" t="n">
        <v>8903</v>
      </c>
      <c r="G675" s="20" t="inlineStr">
        <is>
          <t>PIPE B36.10/36.19 A333 6-SMLS BE BE</t>
        </is>
      </c>
      <c r="H675" s="20" t="inlineStr">
        <is>
          <t>A333</t>
        </is>
      </c>
      <c r="I675" s="22" t="n">
        <v>6</v>
      </c>
      <c r="J675" s="21" t="inlineStr">
        <is>
          <t>STD</t>
        </is>
      </c>
      <c r="K675" s="20" t="inlineStr">
        <is>
          <t>I63649156</t>
        </is>
      </c>
      <c r="L675" s="22" t="n">
        <v>29.8</v>
      </c>
      <c r="M675" s="20">
        <f>IFERROR(LEFT(B675,SEARCH("_Rev",B675)-1),B675)</f>
        <v/>
      </c>
      <c r="N675" s="20">
        <f>IF(B675="","",IF(ISNUMBER(C675),IF(COUNTIFS($M$3:$M$1026,M675,$C$3:$C$1026,"&gt;"&amp;C675)=0,"CURRENT","SUPERSEDED"),"CURRENT"))</f>
        <v/>
      </c>
      <c r="O675" s="19" t="n"/>
    </row>
    <row r="676">
      <c r="A676" s="19" t="n"/>
      <c r="B676" s="20" t="inlineStr">
        <is>
          <t>4503-XH-DL-8903-8953-5003-PA-05_Rev0</t>
        </is>
      </c>
      <c r="C676" s="21" t="n">
        <v>0</v>
      </c>
      <c r="D676" s="21" t="inlineStr">
        <is>
          <t>08.08.2026</t>
        </is>
      </c>
      <c r="E676" s="20" t="inlineStr">
        <is>
          <t>IFC - ISSUED FOR CONSTRUCTION</t>
        </is>
      </c>
      <c r="F676" s="21" t="n">
        <v>8903</v>
      </c>
      <c r="G676" s="20" t="inlineStr">
        <is>
          <t>PIPE B36.10/36.19 A333 6-SMLS BE BE</t>
        </is>
      </c>
      <c r="H676" s="20" t="inlineStr">
        <is>
          <t>A333</t>
        </is>
      </c>
      <c r="I676" s="22" t="n">
        <v>6</v>
      </c>
      <c r="J676" s="21" t="inlineStr">
        <is>
          <t>STD</t>
        </is>
      </c>
      <c r="K676" s="20" t="inlineStr">
        <is>
          <t>I63649156</t>
        </is>
      </c>
      <c r="L676" s="22" t="n">
        <v>4.4</v>
      </c>
      <c r="M676" s="20">
        <f>IFERROR(LEFT(B676,SEARCH("_Rev",B676)-1),B676)</f>
        <v/>
      </c>
      <c r="N676" s="20">
        <f>IF(B676="","",IF(ISNUMBER(C676),IF(COUNTIFS($M$3:$M$1026,M676,$C$3:$C$1026,"&gt;"&amp;C676)=0,"CURRENT","SUPERSEDED"),"CURRENT"))</f>
        <v/>
      </c>
      <c r="O676" s="19" t="n"/>
    </row>
    <row r="677">
      <c r="A677" s="19" t="n"/>
      <c r="B677" s="20" t="inlineStr">
        <is>
          <t>4503-XH-DL-8903-8967-5002-BU-01_Rev0</t>
        </is>
      </c>
      <c r="C677" s="21" t="n">
        <v>0</v>
      </c>
      <c r="D677" s="21" t="n">
        <v>46247</v>
      </c>
      <c r="E677" s="20" t="inlineStr">
        <is>
          <t>IFC - ISSUED FOR CONSTRUCTION</t>
        </is>
      </c>
      <c r="F677" s="21" t="n">
        <v>8903</v>
      </c>
      <c r="G677" s="20" t="inlineStr">
        <is>
          <t>PIPE B36.10/36.19 A333 6-SMLS BE BE</t>
        </is>
      </c>
      <c r="H677" s="20" t="inlineStr">
        <is>
          <t>A333</t>
        </is>
      </c>
      <c r="I677" s="22" t="n">
        <v>2</v>
      </c>
      <c r="J677" s="21" t="inlineStr">
        <is>
          <t>XS</t>
        </is>
      </c>
      <c r="K677" s="20" t="inlineStr">
        <is>
          <t>I64108762</t>
        </is>
      </c>
      <c r="L677" s="22" t="n">
        <v>48.7</v>
      </c>
      <c r="M677" s="20">
        <f>IFERROR(LEFT(B677,SEARCH("_Rev",B677)-1),B677)</f>
        <v/>
      </c>
      <c r="N677" s="20">
        <f>IF(B677="","",IF(ISNUMBER(C677),IF(COUNTIFS($M$3:$M$1026,M677,$C$3:$C$1026,"&gt;"&amp;C677)=0,"CURRENT","SUPERSEDED"),"CURRENT"))</f>
        <v/>
      </c>
      <c r="O677" s="19" t="n"/>
    </row>
    <row r="678">
      <c r="A678" s="19" t="n"/>
      <c r="B678" s="20" t="inlineStr">
        <is>
          <t>4503-XH-DL-8903-8967-5002-BU-02_Rev0</t>
        </is>
      </c>
      <c r="C678" s="21" t="n">
        <v>0</v>
      </c>
      <c r="D678" s="21" t="inlineStr">
        <is>
          <t>13.08.2026</t>
        </is>
      </c>
      <c r="E678" s="20" t="inlineStr">
        <is>
          <t>IFC - ISSUED FOR CONSTRUCTION</t>
        </is>
      </c>
      <c r="F678" s="21" t="n">
        <v>8903</v>
      </c>
      <c r="G678" s="20" t="inlineStr">
        <is>
          <t>PIPE B36.10/36.19 A333 6-SMLS BE BE</t>
        </is>
      </c>
      <c r="H678" s="20" t="inlineStr">
        <is>
          <t>A333</t>
        </is>
      </c>
      <c r="I678" s="22" t="n">
        <v>2</v>
      </c>
      <c r="J678" s="21" t="inlineStr">
        <is>
          <t>XS</t>
        </is>
      </c>
      <c r="K678" s="20" t="inlineStr">
        <is>
          <t>I64108762</t>
        </is>
      </c>
      <c r="L678" s="22" t="n">
        <v>59.8</v>
      </c>
      <c r="M678" s="20">
        <f>IFERROR(LEFT(B678,SEARCH("_Rev",B678)-1),B678)</f>
        <v/>
      </c>
      <c r="N678" s="20">
        <f>IF(B678="","",IF(ISNUMBER(C678),IF(COUNTIFS($M$3:$M$1026,M678,$C$3:$C$1026,"&gt;"&amp;C678)=0,"CURRENT","SUPERSEDED"),"CURRENT"))</f>
        <v/>
      </c>
      <c r="O678" s="19" t="n"/>
    </row>
    <row r="679">
      <c r="A679" s="19" t="n"/>
      <c r="B679" s="20" t="inlineStr">
        <is>
          <t>4503-XH-DL-8903-8967-5002-BU-03_Rev0</t>
        </is>
      </c>
      <c r="C679" s="21" t="n">
        <v>0</v>
      </c>
      <c r="D679" s="21" t="inlineStr">
        <is>
          <t>13.08.2026</t>
        </is>
      </c>
      <c r="E679" s="20" t="inlineStr">
        <is>
          <t>IFC - ISSUED FOR CONSTRUCTION</t>
        </is>
      </c>
      <c r="F679" s="21" t="n">
        <v>8903</v>
      </c>
      <c r="G679" s="20" t="inlineStr">
        <is>
          <t>PIPE B36.10/36.19 A333 6-SMLS BE BE</t>
        </is>
      </c>
      <c r="H679" s="20" t="inlineStr">
        <is>
          <t>A333</t>
        </is>
      </c>
      <c r="I679" s="22" t="n">
        <v>2</v>
      </c>
      <c r="J679" s="21" t="inlineStr">
        <is>
          <t>XS</t>
        </is>
      </c>
      <c r="K679" s="20" t="inlineStr">
        <is>
          <t>I64108762</t>
        </is>
      </c>
      <c r="L679" s="22" t="n">
        <v>56.3</v>
      </c>
      <c r="M679" s="20">
        <f>IFERROR(LEFT(B679,SEARCH("_Rev",B679)-1),B679)</f>
        <v/>
      </c>
      <c r="N679" s="20">
        <f>IF(B679="","",IF(ISNUMBER(C679),IF(COUNTIFS($M$3:$M$1026,M679,$C$3:$C$1026,"&gt;"&amp;C679)=0,"CURRENT","SUPERSEDED"),"CURRENT"))</f>
        <v/>
      </c>
      <c r="O679" s="19" t="n"/>
    </row>
    <row r="680">
      <c r="A680" s="19" t="n"/>
      <c r="B680" s="20" t="inlineStr">
        <is>
          <t>4503-XH-DL-8903-8967-5002-BU-04_Rev0</t>
        </is>
      </c>
      <c r="C680" s="21" t="n">
        <v>0</v>
      </c>
      <c r="D680" s="21" t="inlineStr">
        <is>
          <t>13.08.2026</t>
        </is>
      </c>
      <c r="E680" s="20" t="inlineStr">
        <is>
          <t>IFC - ISSUED FOR CONSTRUCTION</t>
        </is>
      </c>
      <c r="F680" s="21" t="n">
        <v>8903</v>
      </c>
      <c r="G680" s="20" t="inlineStr">
        <is>
          <t>PIPE B36.10/36.19 A333 6-SMLS BE BE</t>
        </is>
      </c>
      <c r="H680" s="20" t="inlineStr">
        <is>
          <t>A333</t>
        </is>
      </c>
      <c r="I680" s="22" t="n">
        <v>2</v>
      </c>
      <c r="J680" s="21" t="inlineStr">
        <is>
          <t>XS</t>
        </is>
      </c>
      <c r="K680" s="20" t="inlineStr">
        <is>
          <t>I64108762</t>
        </is>
      </c>
      <c r="L680" s="22" t="n">
        <v>28.7</v>
      </c>
      <c r="M680" s="20">
        <f>IFERROR(LEFT(B680,SEARCH("_Rev",B680)-1),B680)</f>
        <v/>
      </c>
      <c r="N680" s="20">
        <f>IF(B680="","",IF(ISNUMBER(C680),IF(COUNTIFS($M$3:$M$1026,M680,$C$3:$C$1026,"&gt;"&amp;C680)=0,"CURRENT","SUPERSEDED"),"CURRENT"))</f>
        <v/>
      </c>
      <c r="O680" s="19" t="n"/>
    </row>
    <row r="681">
      <c r="A681" s="19" t="n"/>
      <c r="B681" s="20" t="inlineStr">
        <is>
          <t>4503-XH-DL-8903-8967-5002-BU-05_Rev0</t>
        </is>
      </c>
      <c r="C681" s="21" t="n">
        <v>0</v>
      </c>
      <c r="D681" s="21" t="inlineStr">
        <is>
          <t>13.08.2026</t>
        </is>
      </c>
      <c r="E681" s="20" t="inlineStr">
        <is>
          <t>IFC - ISSUED FOR CONSTRUCTION</t>
        </is>
      </c>
      <c r="F681" s="21" t="n">
        <v>8903</v>
      </c>
      <c r="G681" s="20" t="inlineStr">
        <is>
          <t>PIPE B36.10/36.19 A333 6-SMLS BE BE</t>
        </is>
      </c>
      <c r="H681" s="20" t="inlineStr">
        <is>
          <t>A333</t>
        </is>
      </c>
      <c r="I681" s="22" t="n">
        <v>2</v>
      </c>
      <c r="J681" s="21" t="inlineStr">
        <is>
          <t>XS</t>
        </is>
      </c>
      <c r="K681" s="20" t="inlineStr">
        <is>
          <t>I64108762</t>
        </is>
      </c>
      <c r="L681" s="22" t="n">
        <v>4.2</v>
      </c>
      <c r="M681" s="20">
        <f>IFERROR(LEFT(B681,SEARCH("_Rev",B681)-1),B681)</f>
        <v/>
      </c>
      <c r="N681" s="20">
        <f>IF(B681="","",IF(ISNUMBER(C681),IF(COUNTIFS($M$3:$M$1026,M681,$C$3:$C$1026,"&gt;"&amp;C681)=0,"CURRENT","SUPERSEDED"),"CURRENT"))</f>
        <v/>
      </c>
      <c r="O681" s="19" t="n"/>
    </row>
    <row r="682">
      <c r="A682" s="19" t="n"/>
      <c r="B682" s="20" t="inlineStr">
        <is>
          <t>4503-XH-DL-8903-8976-5003-HE-01_Rev0</t>
        </is>
      </c>
      <c r="C682" s="21" t="n">
        <v>0</v>
      </c>
      <c r="D682" s="21" t="inlineStr">
        <is>
          <t>13.08.2026</t>
        </is>
      </c>
      <c r="E682" s="20" t="inlineStr">
        <is>
          <t>IFC - ISSUED FOR CONSTRUCTION</t>
        </is>
      </c>
      <c r="F682" s="21" t="n">
        <v>8903</v>
      </c>
      <c r="G682" s="20" t="inlineStr">
        <is>
          <t>PIPE B36.10/36.19 A333 6-SMLS BE BE</t>
        </is>
      </c>
      <c r="H682" s="20" t="inlineStr">
        <is>
          <t>A333</t>
        </is>
      </c>
      <c r="I682" s="22" t="n">
        <v>3</v>
      </c>
      <c r="J682" s="21" t="inlineStr">
        <is>
          <t>STD</t>
        </is>
      </c>
      <c r="K682" s="20" t="inlineStr">
        <is>
          <t>I63649171</t>
        </is>
      </c>
      <c r="L682" s="22" t="n">
        <v>57.8</v>
      </c>
      <c r="M682" s="20">
        <f>IFERROR(LEFT(B682,SEARCH("_Rev",B682)-1),B682)</f>
        <v/>
      </c>
      <c r="N682" s="20">
        <f>IF(B682="","",IF(ISNUMBER(C682),IF(COUNTIFS($M$3:$M$1026,M682,$C$3:$C$1026,"&gt;"&amp;C682)=0,"CURRENT","SUPERSEDED"),"CURRENT"))</f>
        <v/>
      </c>
      <c r="O682" s="19" t="n"/>
    </row>
    <row r="683">
      <c r="A683" s="19" t="n"/>
      <c r="B683" s="20" t="inlineStr">
        <is>
          <t>4503-XH-DL-8903-8981-5004-WW22-01_Rev0</t>
        </is>
      </c>
      <c r="C683" s="21" t="n">
        <v>0</v>
      </c>
      <c r="D683" s="21" t="inlineStr">
        <is>
          <t>14.08.2026</t>
        </is>
      </c>
      <c r="E683" s="20" t="inlineStr">
        <is>
          <t>IFC - ISSUED FOR CONSTRUCTION</t>
        </is>
      </c>
      <c r="F683" s="21" t="n">
        <v>8903</v>
      </c>
      <c r="G683" s="20" t="inlineStr">
        <is>
          <t>PIPE B36.10/36.19 A333 6-SMLS BE BE</t>
        </is>
      </c>
      <c r="H683" s="20" t="inlineStr">
        <is>
          <t>A333</t>
        </is>
      </c>
      <c r="I683" s="22" t="n">
        <v>16</v>
      </c>
      <c r="J683" s="21" t="inlineStr">
        <is>
          <t>STD</t>
        </is>
      </c>
      <c r="K683" s="20" t="inlineStr">
        <is>
          <t>I65585719</t>
        </is>
      </c>
      <c r="L683" s="22" t="n">
        <v>57.5</v>
      </c>
      <c r="M683" s="20">
        <f>IFERROR(LEFT(B683,SEARCH("_Rev",B683)-1),B683)</f>
        <v/>
      </c>
      <c r="N683" s="20">
        <f>IF(B683="","",IF(ISNUMBER(C683),IF(COUNTIFS($M$3:$M$1026,M683,$C$3:$C$1026,"&gt;"&amp;C683)=0,"CURRENT","SUPERSEDED"),"CURRENT"))</f>
        <v/>
      </c>
      <c r="O683" s="19" t="n"/>
    </row>
    <row r="684">
      <c r="A684" s="19" t="n"/>
      <c r="B684" s="20" t="inlineStr">
        <is>
          <t>4503-XH-DL-8903-8981-5004-WW22-02_Rev0</t>
        </is>
      </c>
      <c r="C684" s="21" t="n">
        <v>0</v>
      </c>
      <c r="D684" s="21" t="inlineStr">
        <is>
          <t>14.08.2026</t>
        </is>
      </c>
      <c r="E684" s="20" t="inlineStr">
        <is>
          <t>IFC - ISSUED FOR CONSTRUCTION</t>
        </is>
      </c>
      <c r="F684" s="21" t="n">
        <v>8903</v>
      </c>
      <c r="G684" s="20" t="inlineStr">
        <is>
          <t>PIPE B36.10/36.19 A333 6-SMLS BE BE</t>
        </is>
      </c>
      <c r="H684" s="20" t="inlineStr">
        <is>
          <t>A333</t>
        </is>
      </c>
      <c r="I684" s="22" t="n">
        <v>16</v>
      </c>
      <c r="J684" s="21" t="inlineStr">
        <is>
          <t>STD</t>
        </is>
      </c>
      <c r="K684" s="20" t="inlineStr">
        <is>
          <t>I65585719</t>
        </is>
      </c>
      <c r="L684" s="22" t="n">
        <v>34.4</v>
      </c>
      <c r="M684" s="20">
        <f>IFERROR(LEFT(B684,SEARCH("_Rev",B684)-1),B684)</f>
        <v/>
      </c>
      <c r="N684" s="20">
        <f>IF(B684="","",IF(ISNUMBER(C684),IF(COUNTIFS($M$3:$M$1026,M684,$C$3:$C$1026,"&gt;"&amp;C684)=0,"CURRENT","SUPERSEDED"),"CURRENT"))</f>
        <v/>
      </c>
      <c r="O684" s="19" t="n"/>
    </row>
    <row r="685">
      <c r="A685" s="19" t="n"/>
      <c r="B685" s="20" t="inlineStr">
        <is>
          <t>4503-XH-DL-8903-8981-5004-WW22-03_Rev0</t>
        </is>
      </c>
      <c r="C685" s="21" t="n">
        <v>0</v>
      </c>
      <c r="D685" s="21" t="inlineStr">
        <is>
          <t>14.08.2026</t>
        </is>
      </c>
      <c r="E685" s="20" t="inlineStr">
        <is>
          <t>IFC - ISSUED FOR CONSTRUCTION</t>
        </is>
      </c>
      <c r="F685" s="21" t="n">
        <v>8903</v>
      </c>
      <c r="G685" s="20" t="inlineStr">
        <is>
          <t>PIPE B36.10/36.19 A333 6-SMLS BE BE</t>
        </is>
      </c>
      <c r="H685" s="20" t="inlineStr">
        <is>
          <t>A333</t>
        </is>
      </c>
      <c r="I685" s="22" t="n">
        <v>16</v>
      </c>
      <c r="J685" s="21" t="inlineStr">
        <is>
          <t>STD</t>
        </is>
      </c>
      <c r="K685" s="20" t="inlineStr">
        <is>
          <t>I65585719</t>
        </is>
      </c>
      <c r="L685" s="22" t="n">
        <v>56.3</v>
      </c>
      <c r="M685" s="20">
        <f>IFERROR(LEFT(B685,SEARCH("_Rev",B685)-1),B685)</f>
        <v/>
      </c>
      <c r="N685" s="20">
        <f>IF(B685="","",IF(ISNUMBER(C685),IF(COUNTIFS($M$3:$M$1026,M685,$C$3:$C$1026,"&gt;"&amp;C685)=0,"CURRENT","SUPERSEDED"),"CURRENT"))</f>
        <v/>
      </c>
      <c r="O685" s="19" t="n"/>
    </row>
    <row r="686">
      <c r="A686" s="19" t="n"/>
      <c r="B686" s="20" t="inlineStr">
        <is>
          <t>4503-XH-DL-8903-8981-5004-WW22-04_Rev0</t>
        </is>
      </c>
      <c r="C686" s="21" t="n">
        <v>0</v>
      </c>
      <c r="D686" s="21" t="n">
        <v>46248</v>
      </c>
      <c r="E686" s="20" t="inlineStr">
        <is>
          <t>IFC - ISSUED FOR CONSTRUCTION</t>
        </is>
      </c>
      <c r="F686" s="21" t="n">
        <v>8903</v>
      </c>
      <c r="G686" s="20" t="inlineStr">
        <is>
          <t>PIPE B36.10/36.19 A333 6-SMLS BE BE</t>
        </is>
      </c>
      <c r="H686" s="20" t="inlineStr">
        <is>
          <t>A333</t>
        </is>
      </c>
      <c r="I686" s="22" t="n">
        <v>16</v>
      </c>
      <c r="J686" s="21" t="inlineStr">
        <is>
          <t>STD</t>
        </is>
      </c>
      <c r="K686" s="20" t="inlineStr">
        <is>
          <t>I65585719</t>
        </is>
      </c>
      <c r="L686" s="22" t="n">
        <v>27.9</v>
      </c>
      <c r="M686" s="20">
        <f>IFERROR(LEFT(B686,SEARCH("_Rev",B686)-1),B686)</f>
        <v/>
      </c>
      <c r="N686" s="20">
        <f>IF(B686="","",IF(ISNUMBER(C686),IF(COUNTIFS($M$3:$M$1026,M686,$C$3:$C$1026,"&gt;"&amp;C686)=0,"CURRENT","SUPERSEDED"),"CURRENT"))</f>
        <v/>
      </c>
      <c r="O686" s="19" t="n"/>
    </row>
    <row r="687">
      <c r="A687" s="19" t="n"/>
      <c r="B687" s="20" t="inlineStr">
        <is>
          <t>4503-XH-DL-8903-8981-5004-WW22-05_Rev0</t>
        </is>
      </c>
      <c r="C687" s="21" t="n">
        <v>0</v>
      </c>
      <c r="D687" s="21" t="inlineStr">
        <is>
          <t>14.08.2026</t>
        </is>
      </c>
      <c r="E687" s="20" t="inlineStr">
        <is>
          <t>IFC - ISSUED FOR CONSTRUCTION</t>
        </is>
      </c>
      <c r="F687" s="21" t="n">
        <v>8903</v>
      </c>
      <c r="G687" s="20" t="inlineStr">
        <is>
          <t>PIPE B36.10/36.19 A333 6-SMLS BE BE</t>
        </is>
      </c>
      <c r="H687" s="20" t="inlineStr">
        <is>
          <t>A333</t>
        </is>
      </c>
      <c r="I687" s="22" t="n">
        <v>16</v>
      </c>
      <c r="J687" s="21" t="inlineStr">
        <is>
          <t>STD</t>
        </is>
      </c>
      <c r="K687" s="20" t="inlineStr">
        <is>
          <t>I65585719</t>
        </is>
      </c>
      <c r="L687" s="22" t="n">
        <v>16.2</v>
      </c>
      <c r="M687" s="20">
        <f>IFERROR(LEFT(B687,SEARCH("_Rev",B687)-1),B687)</f>
        <v/>
      </c>
      <c r="N687" s="20">
        <f>IF(B687="","",IF(ISNUMBER(C687),IF(COUNTIFS($M$3:$M$1026,M687,$C$3:$C$1026,"&gt;"&amp;C687)=0,"CURRENT","SUPERSEDED"),"CURRENT"))</f>
        <v/>
      </c>
      <c r="O687" s="19" t="n"/>
    </row>
    <row r="688">
      <c r="A688" s="19" t="n"/>
      <c r="B688" s="20" t="inlineStr">
        <is>
          <t>4503-XH-DL-8903-8981-5004-WW22-05_Rev0</t>
        </is>
      </c>
      <c r="C688" s="21" t="n">
        <v>0</v>
      </c>
      <c r="D688" s="21" t="inlineStr">
        <is>
          <t>14.08.2026</t>
        </is>
      </c>
      <c r="E688" s="20" t="inlineStr">
        <is>
          <t>IFC - ISSUED FOR CONSTRUCTION</t>
        </is>
      </c>
      <c r="F688" s="21" t="n">
        <v>8903</v>
      </c>
      <c r="G688" s="20" t="inlineStr">
        <is>
          <t>PIPE B36.10/36.19 A333 6-SMLS PE PE</t>
        </is>
      </c>
      <c r="H688" s="20" t="inlineStr">
        <is>
          <t>A333</t>
        </is>
      </c>
      <c r="I688" s="22" t="n">
        <v>1</v>
      </c>
      <c r="J688" s="21" t="inlineStr">
        <is>
          <t>XS</t>
        </is>
      </c>
      <c r="K688" s="20" t="inlineStr">
        <is>
          <t>I63649231</t>
        </is>
      </c>
      <c r="L688" s="22" t="n">
        <v>0.1</v>
      </c>
      <c r="M688" s="20">
        <f>IFERROR(LEFT(B688,SEARCH("_Rev",B688)-1),B688)</f>
        <v/>
      </c>
      <c r="N688" s="20">
        <f>IF(B688="","",IF(ISNUMBER(C688),IF(COUNTIFS($M$3:$M$1026,M688,$C$3:$C$1026,"&gt;"&amp;C688)=0,"CURRENT","SUPERSEDED"),"CURRENT"))</f>
        <v/>
      </c>
      <c r="O688" s="19" t="n"/>
    </row>
    <row r="689">
      <c r="A689" s="19" t="n"/>
      <c r="B689" s="20" t="inlineStr">
        <is>
          <t>4503-XH-DL-8904-8967-5002-BU-01_Rev0</t>
        </is>
      </c>
      <c r="C689" s="21" t="n">
        <v>0</v>
      </c>
      <c r="D689" s="21" t="inlineStr">
        <is>
          <t>13.08.2026</t>
        </is>
      </c>
      <c r="E689" s="20" t="inlineStr">
        <is>
          <t>IFC - ISSUED FOR CONSTRUCTION</t>
        </is>
      </c>
      <c r="F689" s="21" t="n">
        <v>8904</v>
      </c>
      <c r="G689" s="20" t="inlineStr">
        <is>
          <t>PIPE B36.10/36.19 A333 6-SMLS BE BE</t>
        </is>
      </c>
      <c r="H689" s="20" t="inlineStr">
        <is>
          <t>A333</t>
        </is>
      </c>
      <c r="I689" s="22" t="n">
        <v>2</v>
      </c>
      <c r="J689" s="21" t="inlineStr">
        <is>
          <t>XS</t>
        </is>
      </c>
      <c r="K689" s="20" t="inlineStr">
        <is>
          <t>I64108762</t>
        </is>
      </c>
      <c r="L689" s="22" t="n">
        <v>9.699999999999999</v>
      </c>
      <c r="M689" s="20">
        <f>IFERROR(LEFT(B689,SEARCH("_Rev",B689)-1),B689)</f>
        <v/>
      </c>
      <c r="N689" s="20">
        <f>IF(B689="","",IF(ISNUMBER(C689),IF(COUNTIFS($M$3:$M$1026,M689,$C$3:$C$1026,"&gt;"&amp;C689)=0,"CURRENT","SUPERSEDED"),"CURRENT"))</f>
        <v/>
      </c>
      <c r="O689" s="19" t="n"/>
    </row>
    <row r="690">
      <c r="A690" s="19" t="n"/>
      <c r="B690" s="20" t="inlineStr">
        <is>
          <t>4503-XH-DL-8904-8967-5002-BU-02_Rev0</t>
        </is>
      </c>
      <c r="C690" s="21" t="n">
        <v>0</v>
      </c>
      <c r="D690" s="21" t="inlineStr">
        <is>
          <t>13.08.2026</t>
        </is>
      </c>
      <c r="E690" s="20" t="inlineStr">
        <is>
          <t>IFC - ISSUED FOR CONSTRUCTION</t>
        </is>
      </c>
      <c r="F690" s="21" t="n">
        <v>8904</v>
      </c>
      <c r="G690" s="20" t="inlineStr">
        <is>
          <t>PIPE B36.10/36.19 A333 6-SMLS BE BE</t>
        </is>
      </c>
      <c r="H690" s="20" t="inlineStr">
        <is>
          <t>A333</t>
        </is>
      </c>
      <c r="I690" s="22" t="n">
        <v>2</v>
      </c>
      <c r="J690" s="21" t="inlineStr">
        <is>
          <t>XS</t>
        </is>
      </c>
      <c r="K690" s="20" t="inlineStr">
        <is>
          <t>I64108762</t>
        </is>
      </c>
      <c r="L690" s="22" t="n">
        <v>56</v>
      </c>
      <c r="M690" s="20">
        <f>IFERROR(LEFT(B690,SEARCH("_Rev",B690)-1),B690)</f>
        <v/>
      </c>
      <c r="N690" s="20">
        <f>IF(B690="","",IF(ISNUMBER(C690),IF(COUNTIFS($M$3:$M$1026,M690,$C$3:$C$1026,"&gt;"&amp;C690)=0,"CURRENT","SUPERSEDED"),"CURRENT"))</f>
        <v/>
      </c>
      <c r="O690" s="19" t="n"/>
    </row>
    <row r="691">
      <c r="A691" s="19" t="n"/>
      <c r="B691" s="20" t="inlineStr">
        <is>
          <t>4503-XH-DL-8904-8967-5002-BU-03_Rev0</t>
        </is>
      </c>
      <c r="C691" s="21" t="n">
        <v>0</v>
      </c>
      <c r="D691" s="21" t="n">
        <v>46247</v>
      </c>
      <c r="E691" s="20" t="inlineStr">
        <is>
          <t>IFC - ISSUED FOR CONSTRUCTION</t>
        </is>
      </c>
      <c r="F691" s="21" t="n">
        <v>8904</v>
      </c>
      <c r="G691" s="20" t="inlineStr">
        <is>
          <t>PIPE B36.10/36.19 A333 6-SMLS BE BE</t>
        </is>
      </c>
      <c r="H691" s="20" t="inlineStr">
        <is>
          <t>A333</t>
        </is>
      </c>
      <c r="I691" s="22" t="n">
        <v>2</v>
      </c>
      <c r="J691" s="21" t="inlineStr">
        <is>
          <t>XS</t>
        </is>
      </c>
      <c r="K691" s="20" t="inlineStr">
        <is>
          <t>I64108762</t>
        </is>
      </c>
      <c r="L691" s="22" t="n">
        <v>54</v>
      </c>
      <c r="M691" s="20">
        <f>IFERROR(LEFT(B691,SEARCH("_Rev",B691)-1),B691)</f>
        <v/>
      </c>
      <c r="N691" s="20">
        <f>IF(B691="","",IF(ISNUMBER(C691),IF(COUNTIFS($M$3:$M$1026,M691,$C$3:$C$1026,"&gt;"&amp;C691)=0,"CURRENT","SUPERSEDED"),"CURRENT"))</f>
        <v/>
      </c>
      <c r="O691" s="19" t="n"/>
    </row>
    <row r="692">
      <c r="A692" s="19" t="n"/>
      <c r="B692" s="20" t="inlineStr">
        <is>
          <t>4503-XH-DL-8904-8967-5002-BU-04_Rev0</t>
        </is>
      </c>
      <c r="C692" s="21" t="n">
        <v>0</v>
      </c>
      <c r="D692" s="21" t="inlineStr">
        <is>
          <t>13.08.2026</t>
        </is>
      </c>
      <c r="E692" s="20" t="inlineStr">
        <is>
          <t>IFC - ISSUED FOR CONSTRUCTION</t>
        </is>
      </c>
      <c r="F692" s="21" t="n">
        <v>8904</v>
      </c>
      <c r="G692" s="20" t="inlineStr">
        <is>
          <t>PIPE B36.10/36.19 A333 6-SMLS BE BE</t>
        </is>
      </c>
      <c r="H692" s="20" t="inlineStr">
        <is>
          <t>A333</t>
        </is>
      </c>
      <c r="I692" s="22" t="n">
        <v>2</v>
      </c>
      <c r="J692" s="21" t="inlineStr">
        <is>
          <t>XS</t>
        </is>
      </c>
      <c r="K692" s="20" t="inlineStr">
        <is>
          <t>I64108762</t>
        </is>
      </c>
      <c r="L692" s="22" t="n">
        <v>29.9</v>
      </c>
      <c r="M692" s="20">
        <f>IFERROR(LEFT(B692,SEARCH("_Rev",B692)-1),B692)</f>
        <v/>
      </c>
      <c r="N692" s="20">
        <f>IF(B692="","",IF(ISNUMBER(C692),IF(COUNTIFS($M$3:$M$1026,M692,$C$3:$C$1026,"&gt;"&amp;C692)=0,"CURRENT","SUPERSEDED"),"CURRENT"))</f>
        <v/>
      </c>
      <c r="O692" s="19" t="n"/>
    </row>
    <row r="693">
      <c r="A693" s="19" t="n"/>
      <c r="B693" s="20" t="inlineStr">
        <is>
          <t>4503-XH-DL-8904-8967-5002-BU-05_Rev0</t>
        </is>
      </c>
      <c r="C693" s="21" t="n">
        <v>0</v>
      </c>
      <c r="D693" s="21" t="inlineStr">
        <is>
          <t>13.08.2026</t>
        </is>
      </c>
      <c r="E693" s="20" t="inlineStr">
        <is>
          <t>IFC - ISSUED FOR CONSTRUCTION</t>
        </is>
      </c>
      <c r="F693" s="21" t="n">
        <v>8904</v>
      </c>
      <c r="G693" s="20" t="inlineStr">
        <is>
          <t>PIPE B36.10/36.19 A333 6-SMLS BE BE</t>
        </is>
      </c>
      <c r="H693" s="20" t="inlineStr">
        <is>
          <t>A333</t>
        </is>
      </c>
      <c r="I693" s="22" t="n">
        <v>2</v>
      </c>
      <c r="J693" s="21" t="inlineStr">
        <is>
          <t>XS</t>
        </is>
      </c>
      <c r="K693" s="20" t="inlineStr">
        <is>
          <t>I64108762</t>
        </is>
      </c>
      <c r="L693" s="22" t="n">
        <v>33.7</v>
      </c>
      <c r="M693" s="20">
        <f>IFERROR(LEFT(B693,SEARCH("_Rev",B693)-1),B693)</f>
        <v/>
      </c>
      <c r="N693" s="20">
        <f>IF(B693="","",IF(ISNUMBER(C693),IF(COUNTIFS($M$3:$M$1026,M693,$C$3:$C$1026,"&gt;"&amp;C693)=0,"CURRENT","SUPERSEDED"),"CURRENT"))</f>
        <v/>
      </c>
      <c r="O693" s="19" t="n"/>
    </row>
    <row r="694">
      <c r="A694" s="19" t="n"/>
      <c r="B694" s="20" t="inlineStr">
        <is>
          <t>4503-XH-DL-8904-8976-5003-HE-01_Rev0</t>
        </is>
      </c>
      <c r="C694" s="21" t="n">
        <v>0</v>
      </c>
      <c r="D694" s="21" t="inlineStr">
        <is>
          <t>13.08.2026</t>
        </is>
      </c>
      <c r="E694" s="20" t="inlineStr">
        <is>
          <t>IFC - ISSUED FOR CONSTRUCTION</t>
        </is>
      </c>
      <c r="F694" s="21" t="n">
        <v>8904</v>
      </c>
      <c r="G694" s="20" t="inlineStr">
        <is>
          <t>PIPE B36.10/36.19 A333 6-SMLS BE BE</t>
        </is>
      </c>
      <c r="H694" s="20" t="inlineStr">
        <is>
          <t>A333</t>
        </is>
      </c>
      <c r="I694" s="22" t="n">
        <v>3</v>
      </c>
      <c r="J694" s="21" t="inlineStr">
        <is>
          <t>STD</t>
        </is>
      </c>
      <c r="K694" s="20" t="inlineStr">
        <is>
          <t>I63649171</t>
        </is>
      </c>
      <c r="L694" s="22" t="n">
        <v>54</v>
      </c>
      <c r="M694" s="20">
        <f>IFERROR(LEFT(B694,SEARCH("_Rev",B694)-1),B694)</f>
        <v/>
      </c>
      <c r="N694" s="20">
        <f>IF(B694="","",IF(ISNUMBER(C694),IF(COUNTIFS($M$3:$M$1026,M694,$C$3:$C$1026,"&gt;"&amp;C694)=0,"CURRENT","SUPERSEDED"),"CURRENT"))</f>
        <v/>
      </c>
      <c r="O694" s="19" t="n"/>
    </row>
    <row r="695">
      <c r="A695" s="19" t="n"/>
      <c r="B695" s="20" t="inlineStr">
        <is>
          <t>4503-XH-DL-8904-8976-5003-HE-02_Rev0</t>
        </is>
      </c>
      <c r="C695" s="21" t="n">
        <v>0</v>
      </c>
      <c r="D695" s="21" t="inlineStr">
        <is>
          <t>13.08.2026</t>
        </is>
      </c>
      <c r="E695" s="20" t="inlineStr">
        <is>
          <t>IFC - ISSUED FOR CONSTRUCTION</t>
        </is>
      </c>
      <c r="F695" s="21" t="n">
        <v>8904</v>
      </c>
      <c r="G695" s="20" t="inlineStr">
        <is>
          <t>PIPE B36.10/36.19 A333 6-SMLS BE BE</t>
        </is>
      </c>
      <c r="H695" s="20" t="inlineStr">
        <is>
          <t>A333</t>
        </is>
      </c>
      <c r="I695" s="22" t="n">
        <v>3</v>
      </c>
      <c r="J695" s="21" t="inlineStr">
        <is>
          <t>STD</t>
        </is>
      </c>
      <c r="K695" s="20" t="inlineStr">
        <is>
          <t>I63649171</t>
        </is>
      </c>
      <c r="L695" s="22" t="n">
        <v>19.7</v>
      </c>
      <c r="M695" s="20">
        <f>IFERROR(LEFT(B695,SEARCH("_Rev",B695)-1),B695)</f>
        <v/>
      </c>
      <c r="N695" s="20">
        <f>IF(B695="","",IF(ISNUMBER(C695),IF(COUNTIFS($M$3:$M$1026,M695,$C$3:$C$1026,"&gt;"&amp;C695)=0,"CURRENT","SUPERSEDED"),"CURRENT"))</f>
        <v/>
      </c>
      <c r="O695" s="19" t="n"/>
    </row>
    <row r="696">
      <c r="A696" s="19" t="n"/>
      <c r="B696" s="20" t="inlineStr">
        <is>
          <t>4503-XH-DL-8904-8976-5003-HE-03_Rev0</t>
        </is>
      </c>
      <c r="C696" s="21" t="n">
        <v>0</v>
      </c>
      <c r="D696" s="21" t="inlineStr">
        <is>
          <t>13.08.2026</t>
        </is>
      </c>
      <c r="E696" s="20" t="inlineStr">
        <is>
          <t>IFC - ISSUED FOR CONSTRUCTION</t>
        </is>
      </c>
      <c r="F696" s="21" t="n">
        <v>8904</v>
      </c>
      <c r="G696" s="20" t="inlineStr">
        <is>
          <t>PIPE B36.10/36.19 A333 6-SMLS BE BE</t>
        </is>
      </c>
      <c r="H696" s="20" t="inlineStr">
        <is>
          <t>A333</t>
        </is>
      </c>
      <c r="I696" s="22" t="n">
        <v>3</v>
      </c>
      <c r="J696" s="21" t="inlineStr">
        <is>
          <t>STD</t>
        </is>
      </c>
      <c r="K696" s="20" t="inlineStr">
        <is>
          <t>I63649171</t>
        </is>
      </c>
      <c r="L696" s="22" t="n">
        <v>54</v>
      </c>
      <c r="M696" s="20">
        <f>IFERROR(LEFT(B696,SEARCH("_Rev",B696)-1),B696)</f>
        <v/>
      </c>
      <c r="N696" s="20">
        <f>IF(B696="","",IF(ISNUMBER(C696),IF(COUNTIFS($M$3:$M$1026,M696,$C$3:$C$1026,"&gt;"&amp;C696)=0,"CURRENT","SUPERSEDED"),"CURRENT"))</f>
        <v/>
      </c>
      <c r="O696" s="19" t="n"/>
    </row>
    <row r="697">
      <c r="A697" s="19" t="n"/>
      <c r="B697" s="20" t="inlineStr">
        <is>
          <t>4503-XH-DL-8904-8976-5003-HE-04_Rev0</t>
        </is>
      </c>
      <c r="C697" s="21" t="n">
        <v>0</v>
      </c>
      <c r="D697" s="21" t="inlineStr">
        <is>
          <t>13.08.2026</t>
        </is>
      </c>
      <c r="E697" s="20" t="inlineStr">
        <is>
          <t>IFC - ISSUED FOR CONSTRUCTION</t>
        </is>
      </c>
      <c r="F697" s="21" t="n">
        <v>8904</v>
      </c>
      <c r="G697" s="20" t="inlineStr">
        <is>
          <t>PIPE B36.10/36.19 A333 6-SMLS BE BE</t>
        </is>
      </c>
      <c r="H697" s="20" t="inlineStr">
        <is>
          <t>A333</t>
        </is>
      </c>
      <c r="I697" s="22" t="n">
        <v>3</v>
      </c>
      <c r="J697" s="21" t="inlineStr">
        <is>
          <t>STD</t>
        </is>
      </c>
      <c r="K697" s="20" t="inlineStr">
        <is>
          <t>I63649171</t>
        </is>
      </c>
      <c r="L697" s="22" t="n">
        <v>32.9</v>
      </c>
      <c r="M697" s="20">
        <f>IFERROR(LEFT(B697,SEARCH("_Rev",B697)-1),B697)</f>
        <v/>
      </c>
      <c r="N697" s="20">
        <f>IF(B697="","",IF(ISNUMBER(C697),IF(COUNTIFS($M$3:$M$1026,M697,$C$3:$C$1026,"&gt;"&amp;C697)=0,"CURRENT","SUPERSEDED"),"CURRENT"))</f>
        <v/>
      </c>
      <c r="O697" s="19" t="n"/>
    </row>
    <row r="698">
      <c r="A698" s="19" t="n"/>
      <c r="B698" s="20" t="inlineStr">
        <is>
          <t>4503-XH-DL-8904-8981-5004-WW22-01_Rev0</t>
        </is>
      </c>
      <c r="C698" s="21" t="n">
        <v>0</v>
      </c>
      <c r="D698" s="21" t="inlineStr">
        <is>
          <t>14.08.2026</t>
        </is>
      </c>
      <c r="E698" s="20" t="inlineStr">
        <is>
          <t>IFC - ISSUED FOR CONSTRUCTION</t>
        </is>
      </c>
      <c r="F698" s="21" t="n">
        <v>8904</v>
      </c>
      <c r="G698" s="20" t="inlineStr">
        <is>
          <t>PIPE B36.10/36.19 A333 6-SMLS BE BE</t>
        </is>
      </c>
      <c r="H698" s="20" t="inlineStr">
        <is>
          <t>A333</t>
        </is>
      </c>
      <c r="I698" s="22" t="n">
        <v>16</v>
      </c>
      <c r="J698" s="21" t="inlineStr">
        <is>
          <t>STD</t>
        </is>
      </c>
      <c r="K698" s="20" t="inlineStr">
        <is>
          <t>I65585719</t>
        </is>
      </c>
      <c r="L698" s="22" t="n">
        <v>54</v>
      </c>
      <c r="M698" s="20">
        <f>IFERROR(LEFT(B698,SEARCH("_Rev",B698)-1),B698)</f>
        <v/>
      </c>
      <c r="N698" s="20">
        <f>IF(B698="","",IF(ISNUMBER(C698),IF(COUNTIFS($M$3:$M$1026,M698,$C$3:$C$1026,"&gt;"&amp;C698)=0,"CURRENT","SUPERSEDED"),"CURRENT"))</f>
        <v/>
      </c>
      <c r="O698" s="19" t="n"/>
    </row>
    <row r="699">
      <c r="A699" s="19" t="n"/>
      <c r="B699" s="20" t="inlineStr">
        <is>
          <t>4503-XH-DL-8904-8981-5004-WW22-02_Rev0</t>
        </is>
      </c>
      <c r="C699" s="21" t="n">
        <v>0</v>
      </c>
      <c r="D699" s="21" t="inlineStr">
        <is>
          <t>14.08.2026</t>
        </is>
      </c>
      <c r="E699" s="20" t="inlineStr">
        <is>
          <t>IFC - ISSUED FOR CONSTRUCTION</t>
        </is>
      </c>
      <c r="F699" s="21" t="n">
        <v>8904</v>
      </c>
      <c r="G699" s="20" t="inlineStr">
        <is>
          <t>PIPE B36.10/36.19 A333 6-SMLS BE BE</t>
        </is>
      </c>
      <c r="H699" s="20" t="inlineStr">
        <is>
          <t>A333</t>
        </is>
      </c>
      <c r="I699" s="22" t="n">
        <v>16</v>
      </c>
      <c r="J699" s="21" t="inlineStr">
        <is>
          <t>STD</t>
        </is>
      </c>
      <c r="K699" s="20" t="inlineStr">
        <is>
          <t>I65585719</t>
        </is>
      </c>
      <c r="L699" s="22" t="n">
        <v>56</v>
      </c>
      <c r="M699" s="20">
        <f>IFERROR(LEFT(B699,SEARCH("_Rev",B699)-1),B699)</f>
        <v/>
      </c>
      <c r="N699" s="20">
        <f>IF(B699="","",IF(ISNUMBER(C699),IF(COUNTIFS($M$3:$M$1026,M699,$C$3:$C$1026,"&gt;"&amp;C699)=0,"CURRENT","SUPERSEDED"),"CURRENT"))</f>
        <v/>
      </c>
      <c r="O699" s="19" t="n"/>
    </row>
    <row r="700">
      <c r="A700" s="19" t="n"/>
      <c r="B700" s="20" t="inlineStr">
        <is>
          <t>4503-XH-DL-8905-8967-5002-BU-01_Rev0</t>
        </is>
      </c>
      <c r="C700" s="21" t="n">
        <v>0</v>
      </c>
      <c r="D700" s="21" t="inlineStr">
        <is>
          <t>13.08.2026</t>
        </is>
      </c>
      <c r="E700" s="20" t="inlineStr">
        <is>
          <t>IFC - ISSUED FOR CONSTRUCTION</t>
        </is>
      </c>
      <c r="F700" s="21" t="n">
        <v>8905</v>
      </c>
      <c r="G700" s="20" t="inlineStr">
        <is>
          <t>PIPE B36.10/36.19 A333 6-SMLS BE BE</t>
        </is>
      </c>
      <c r="H700" s="20" t="inlineStr">
        <is>
          <t>A333</t>
        </is>
      </c>
      <c r="I700" s="22" t="n">
        <v>2</v>
      </c>
      <c r="J700" s="21" t="inlineStr">
        <is>
          <t>XS</t>
        </is>
      </c>
      <c r="K700" s="20" t="inlineStr">
        <is>
          <t>I64108762</t>
        </is>
      </c>
      <c r="L700" s="22" t="n">
        <v>34.2</v>
      </c>
      <c r="M700" s="20">
        <f>IFERROR(LEFT(B700,SEARCH("_Rev",B700)-1),B700)</f>
        <v/>
      </c>
      <c r="N700" s="20">
        <f>IF(B700="","",IF(ISNUMBER(C700),IF(COUNTIFS($M$3:$M$1026,M700,$C$3:$C$1026,"&gt;"&amp;C700)=0,"CURRENT","SUPERSEDED"),"CURRENT"))</f>
        <v/>
      </c>
      <c r="O700" s="19" t="n"/>
    </row>
    <row r="701">
      <c r="A701" s="19" t="n"/>
      <c r="B701" s="20" t="inlineStr">
        <is>
          <t>4503-XH-DL-8905-8967-5002-BU-02_Rev0</t>
        </is>
      </c>
      <c r="C701" s="21" t="n">
        <v>0</v>
      </c>
      <c r="D701" s="21" t="inlineStr">
        <is>
          <t>13.08.2026</t>
        </is>
      </c>
      <c r="E701" s="20" t="inlineStr">
        <is>
          <t>IFC - ISSUED FOR CONSTRUCTION</t>
        </is>
      </c>
      <c r="F701" s="21" t="n">
        <v>8905</v>
      </c>
      <c r="G701" s="20" t="inlineStr">
        <is>
          <t>PIPE B36.10/36.19 A333 6-SMLS BE BE</t>
        </is>
      </c>
      <c r="H701" s="20" t="inlineStr">
        <is>
          <t>A333</t>
        </is>
      </c>
      <c r="I701" s="22" t="n">
        <v>2</v>
      </c>
      <c r="J701" s="21" t="inlineStr">
        <is>
          <t>XS</t>
        </is>
      </c>
      <c r="K701" s="20" t="inlineStr">
        <is>
          <t>I64108762</t>
        </is>
      </c>
      <c r="L701" s="22" t="n">
        <v>48</v>
      </c>
      <c r="M701" s="20">
        <f>IFERROR(LEFT(B701,SEARCH("_Rev",B701)-1),B701)</f>
        <v/>
      </c>
      <c r="N701" s="20">
        <f>IF(B701="","",IF(ISNUMBER(C701),IF(COUNTIFS($M$3:$M$1026,M701,$C$3:$C$1026,"&gt;"&amp;C701)=0,"CURRENT","SUPERSEDED"),"CURRENT"))</f>
        <v/>
      </c>
      <c r="O701" s="19" t="n"/>
    </row>
    <row r="702">
      <c r="A702" s="19" t="n"/>
      <c r="B702" s="20" t="inlineStr">
        <is>
          <t>4503-XH-DL-8905-8967-5002-BU-03_Rev0</t>
        </is>
      </c>
      <c r="C702" s="21" t="n">
        <v>0</v>
      </c>
      <c r="D702" s="21" t="inlineStr">
        <is>
          <t>13.08.2026</t>
        </is>
      </c>
      <c r="E702" s="20" t="inlineStr">
        <is>
          <t>IFC - ISSUED FOR CONSTRUCTION</t>
        </is>
      </c>
      <c r="F702" s="21" t="n">
        <v>8905</v>
      </c>
      <c r="G702" s="20" t="inlineStr">
        <is>
          <t>PIPE B36.10/36.19 A333 6-SMLS BE BE</t>
        </is>
      </c>
      <c r="H702" s="20" t="inlineStr">
        <is>
          <t>A333</t>
        </is>
      </c>
      <c r="I702" s="22" t="n">
        <v>2</v>
      </c>
      <c r="J702" s="21" t="inlineStr">
        <is>
          <t>XS</t>
        </is>
      </c>
      <c r="K702" s="20" t="inlineStr">
        <is>
          <t>I64108762</t>
        </is>
      </c>
      <c r="L702" s="22" t="n">
        <v>56.7</v>
      </c>
      <c r="M702" s="20">
        <f>IFERROR(LEFT(B702,SEARCH("_Rev",B702)-1),B702)</f>
        <v/>
      </c>
      <c r="N702" s="20">
        <f>IF(B702="","",IF(ISNUMBER(C702),IF(COUNTIFS($M$3:$M$1026,M702,$C$3:$C$1026,"&gt;"&amp;C702)=0,"CURRENT","SUPERSEDED"),"CURRENT"))</f>
        <v/>
      </c>
      <c r="O702" s="19" t="n"/>
    </row>
    <row r="703">
      <c r="A703" s="19" t="n"/>
      <c r="B703" s="20" t="inlineStr">
        <is>
          <t>4503-XH-DL-8905-8967-5002-BU-04_Rev0</t>
        </is>
      </c>
      <c r="C703" s="21" t="n">
        <v>0</v>
      </c>
      <c r="D703" s="21" t="inlineStr">
        <is>
          <t>13.08.2026</t>
        </is>
      </c>
      <c r="E703" s="20" t="inlineStr">
        <is>
          <t>IFC - ISSUED FOR CONSTRUCTION</t>
        </is>
      </c>
      <c r="F703" s="21" t="n">
        <v>8905</v>
      </c>
      <c r="G703" s="20" t="inlineStr">
        <is>
          <t>PIPE B36.10/36.19 A333 6-SMLS BE BE</t>
        </is>
      </c>
      <c r="H703" s="20" t="inlineStr">
        <is>
          <t>A333</t>
        </is>
      </c>
      <c r="I703" s="22" t="n">
        <v>2</v>
      </c>
      <c r="J703" s="21" t="inlineStr">
        <is>
          <t>XS</t>
        </is>
      </c>
      <c r="K703" s="20" t="inlineStr">
        <is>
          <t>I64108762</t>
        </is>
      </c>
      <c r="L703" s="22" t="n">
        <v>27.2</v>
      </c>
      <c r="M703" s="20">
        <f>IFERROR(LEFT(B703,SEARCH("_Rev",B703)-1),B703)</f>
        <v/>
      </c>
      <c r="N703" s="20">
        <f>IF(B703="","",IF(ISNUMBER(C703),IF(COUNTIFS($M$3:$M$1026,M703,$C$3:$C$1026,"&gt;"&amp;C703)=0,"CURRENT","SUPERSEDED"),"CURRENT"))</f>
        <v/>
      </c>
      <c r="O703" s="19" t="n"/>
    </row>
    <row r="704">
      <c r="A704" s="19" t="n"/>
      <c r="B704" s="20" t="inlineStr">
        <is>
          <t>4503-XH-DL-8905-8967-5002-BU-05_Rev0</t>
        </is>
      </c>
      <c r="C704" s="21" t="n">
        <v>0</v>
      </c>
      <c r="D704" s="21" t="inlineStr">
        <is>
          <t>13.08.2026</t>
        </is>
      </c>
      <c r="E704" s="20" t="inlineStr">
        <is>
          <t>IFC - ISSUED FOR CONSTRUCTION</t>
        </is>
      </c>
      <c r="F704" s="21" t="n">
        <v>8905</v>
      </c>
      <c r="G704" s="20" t="inlineStr">
        <is>
          <t>PIPE B36.10/36.19 A333 6-SMLS BE BE</t>
        </is>
      </c>
      <c r="H704" s="20" t="inlineStr">
        <is>
          <t>A333</t>
        </is>
      </c>
      <c r="I704" s="22" t="n">
        <v>2</v>
      </c>
      <c r="J704" s="21" t="inlineStr">
        <is>
          <t>XS</t>
        </is>
      </c>
      <c r="K704" s="20" t="inlineStr">
        <is>
          <t>I64108762</t>
        </is>
      </c>
      <c r="L704" s="22" t="n">
        <v>4.2</v>
      </c>
      <c r="M704" s="20">
        <f>IFERROR(LEFT(B704,SEARCH("_Rev",B704)-1),B704)</f>
        <v/>
      </c>
      <c r="N704" s="20">
        <f>IF(B704="","",IF(ISNUMBER(C704),IF(COUNTIFS($M$3:$M$1026,M704,$C$3:$C$1026,"&gt;"&amp;C704)=0,"CURRENT","SUPERSEDED"),"CURRENT"))</f>
        <v/>
      </c>
      <c r="O704" s="19" t="n"/>
    </row>
    <row r="705">
      <c r="A705" s="19" t="n"/>
      <c r="B705" s="20" t="inlineStr">
        <is>
          <t>4503-XH-DL-8905-8967-5002-BU-06_Rev0</t>
        </is>
      </c>
      <c r="C705" s="21" t="n">
        <v>0</v>
      </c>
      <c r="D705" s="21" t="inlineStr">
        <is>
          <t>13.08.2026</t>
        </is>
      </c>
      <c r="E705" s="20" t="inlineStr">
        <is>
          <t>IFC - ISSUED FOR CONSTRUCTION</t>
        </is>
      </c>
      <c r="F705" s="21" t="n">
        <v>8905</v>
      </c>
      <c r="G705" s="20" t="inlineStr">
        <is>
          <t>PIPE B36.10/36.19 A333 6-SMLS BE BE</t>
        </is>
      </c>
      <c r="H705" s="20" t="inlineStr">
        <is>
          <t>A333</t>
        </is>
      </c>
      <c r="I705" s="22" t="n">
        <v>2</v>
      </c>
      <c r="J705" s="21" t="inlineStr">
        <is>
          <t>XS</t>
        </is>
      </c>
      <c r="K705" s="20" t="inlineStr">
        <is>
          <t>I64108762</t>
        </is>
      </c>
      <c r="L705" s="22" t="n">
        <v>31.3</v>
      </c>
      <c r="M705" s="20">
        <f>IFERROR(LEFT(B705,SEARCH("_Rev",B705)-1),B705)</f>
        <v/>
      </c>
      <c r="N705" s="20">
        <f>IF(B705="","",IF(ISNUMBER(C705),IF(COUNTIFS($M$3:$M$1026,M705,$C$3:$C$1026,"&gt;"&amp;C705)=0,"CURRENT","SUPERSEDED"),"CURRENT"))</f>
        <v/>
      </c>
      <c r="O705" s="19" t="n"/>
    </row>
    <row r="706">
      <c r="A706" s="19" t="n"/>
      <c r="B706" s="20" t="inlineStr">
        <is>
          <t>4503-XH-DL-8905-8967-5002-BU-07_Rev0</t>
        </is>
      </c>
      <c r="C706" s="21" t="n">
        <v>0</v>
      </c>
      <c r="D706" s="21" t="inlineStr">
        <is>
          <t>13.08.2026</t>
        </is>
      </c>
      <c r="E706" s="20" t="inlineStr">
        <is>
          <t>IFC - ISSUED FOR CONSTRUCTION</t>
        </is>
      </c>
      <c r="F706" s="21" t="n">
        <v>8905</v>
      </c>
      <c r="G706" s="20" t="inlineStr">
        <is>
          <t>PIPE B36.10/36.19 A333 6-SMLS BE BE</t>
        </is>
      </c>
      <c r="H706" s="20" t="inlineStr">
        <is>
          <t>A333</t>
        </is>
      </c>
      <c r="I706" s="22" t="n">
        <v>2</v>
      </c>
      <c r="J706" s="21" t="inlineStr">
        <is>
          <t>XS</t>
        </is>
      </c>
      <c r="K706" s="20" t="inlineStr">
        <is>
          <t>I64108762</t>
        </is>
      </c>
      <c r="L706" s="22" t="n">
        <v>10.1</v>
      </c>
      <c r="M706" s="20">
        <f>IFERROR(LEFT(B706,SEARCH("_Rev",B706)-1),B706)</f>
        <v/>
      </c>
      <c r="N706" s="20">
        <f>IF(B706="","",IF(ISNUMBER(C706),IF(COUNTIFS($M$3:$M$1026,M706,$C$3:$C$1026,"&gt;"&amp;C706)=0,"CURRENT","SUPERSEDED"),"CURRENT"))</f>
        <v/>
      </c>
      <c r="O706" s="19" t="n"/>
    </row>
    <row r="707">
      <c r="A707" s="19" t="n"/>
      <c r="B707" s="20" t="inlineStr">
        <is>
          <t>4503-XH-DL-8905-8976-5003-HE-01_Rev0</t>
        </is>
      </c>
      <c r="C707" s="21" t="n">
        <v>0</v>
      </c>
      <c r="D707" s="21" t="inlineStr">
        <is>
          <t>13.08.2026</t>
        </is>
      </c>
      <c r="E707" s="20" t="inlineStr">
        <is>
          <t>IFC - ISSUED FOR CONSTRUCTION</t>
        </is>
      </c>
      <c r="F707" s="21" t="n">
        <v>8905</v>
      </c>
      <c r="G707" s="20" t="inlineStr">
        <is>
          <t>PIPE B36.10/36.19 A333 6-SMLS BE BE</t>
        </is>
      </c>
      <c r="H707" s="20" t="inlineStr">
        <is>
          <t>A333</t>
        </is>
      </c>
      <c r="I707" s="22" t="n">
        <v>3</v>
      </c>
      <c r="J707" s="21" t="inlineStr">
        <is>
          <t>STD</t>
        </is>
      </c>
      <c r="K707" s="20" t="inlineStr">
        <is>
          <t>I63649171</t>
        </is>
      </c>
      <c r="L707" s="22" t="n">
        <v>33.7</v>
      </c>
      <c r="M707" s="20">
        <f>IFERROR(LEFT(B707,SEARCH("_Rev",B707)-1),B707)</f>
        <v/>
      </c>
      <c r="N707" s="20">
        <f>IF(B707="","",IF(ISNUMBER(C707),IF(COUNTIFS($M$3:$M$1026,M707,$C$3:$C$1026,"&gt;"&amp;C707)=0,"CURRENT","SUPERSEDED"),"CURRENT"))</f>
        <v/>
      </c>
      <c r="O707" s="19" t="n"/>
    </row>
    <row r="708">
      <c r="A708" s="19" t="n"/>
      <c r="B708" s="20" t="inlineStr">
        <is>
          <t>4503-XH-DL-8905-8976-5003-HE-02_Rev0</t>
        </is>
      </c>
      <c r="C708" s="21" t="n">
        <v>0</v>
      </c>
      <c r="D708" s="21" t="inlineStr">
        <is>
          <t>13.08.2026</t>
        </is>
      </c>
      <c r="E708" s="20" t="inlineStr">
        <is>
          <t>IFC - ISSUED FOR CONSTRUCTION</t>
        </is>
      </c>
      <c r="F708" s="21" t="n">
        <v>8905</v>
      </c>
      <c r="G708" s="20" t="inlineStr">
        <is>
          <t>PIPE B36.10/36.19 A333 6-SMLS BE BE</t>
        </is>
      </c>
      <c r="H708" s="20" t="inlineStr">
        <is>
          <t>A333</t>
        </is>
      </c>
      <c r="I708" s="22" t="n">
        <v>3</v>
      </c>
      <c r="J708" s="21" t="inlineStr">
        <is>
          <t>STD</t>
        </is>
      </c>
      <c r="K708" s="20" t="inlineStr">
        <is>
          <t>I63649171</t>
        </is>
      </c>
      <c r="L708" s="22" t="n">
        <v>48</v>
      </c>
      <c r="M708" s="20">
        <f>IFERROR(LEFT(B708,SEARCH("_Rev",B708)-1),B708)</f>
        <v/>
      </c>
      <c r="N708" s="20">
        <f>IF(B708="","",IF(ISNUMBER(C708),IF(COUNTIFS($M$3:$M$1026,M708,$C$3:$C$1026,"&gt;"&amp;C708)=0,"CURRENT","SUPERSEDED"),"CURRENT"))</f>
        <v/>
      </c>
      <c r="O708" s="19" t="n"/>
    </row>
    <row r="709">
      <c r="A709" s="19" t="n"/>
      <c r="B709" s="20" t="inlineStr">
        <is>
          <t>4503-XH-DL-8905-8976-5003-HE-03_Rev0</t>
        </is>
      </c>
      <c r="C709" s="21" t="n">
        <v>0</v>
      </c>
      <c r="D709" s="21" t="inlineStr">
        <is>
          <t>13.08.2026</t>
        </is>
      </c>
      <c r="E709" s="20" t="inlineStr">
        <is>
          <t>IFC - ISSUED FOR CONSTRUCTION</t>
        </is>
      </c>
      <c r="F709" s="21" t="n">
        <v>8905</v>
      </c>
      <c r="G709" s="20" t="inlineStr">
        <is>
          <t>PIPE B36.10/36.19 A333 6-SMLS BE BE</t>
        </is>
      </c>
      <c r="H709" s="20" t="inlineStr">
        <is>
          <t>A333</t>
        </is>
      </c>
      <c r="I709" s="22" t="n">
        <v>3</v>
      </c>
      <c r="J709" s="21" t="inlineStr">
        <is>
          <t>STD</t>
        </is>
      </c>
      <c r="K709" s="20" t="inlineStr">
        <is>
          <t>I63649171</t>
        </is>
      </c>
      <c r="L709" s="22" t="n">
        <v>57.8</v>
      </c>
      <c r="M709" s="20">
        <f>IFERROR(LEFT(B709,SEARCH("_Rev",B709)-1),B709)</f>
        <v/>
      </c>
      <c r="N709" s="20">
        <f>IF(B709="","",IF(ISNUMBER(C709),IF(COUNTIFS($M$3:$M$1026,M709,$C$3:$C$1026,"&gt;"&amp;C709)=0,"CURRENT","SUPERSEDED"),"CURRENT"))</f>
        <v/>
      </c>
      <c r="O709" s="19" t="n"/>
    </row>
    <row r="710">
      <c r="A710" s="19" t="n"/>
      <c r="B710" s="20" t="inlineStr">
        <is>
          <t>4503-XH-DL-8905-8976-5003-HE-04_Rev0</t>
        </is>
      </c>
      <c r="C710" s="21" t="n">
        <v>0</v>
      </c>
      <c r="D710" s="21" t="inlineStr">
        <is>
          <t>13.08.2026</t>
        </is>
      </c>
      <c r="E710" s="20" t="inlineStr">
        <is>
          <t>IFC - ISSUED FOR CONSTRUCTION</t>
        </is>
      </c>
      <c r="F710" s="21" t="n">
        <v>8905</v>
      </c>
      <c r="G710" s="20" t="inlineStr">
        <is>
          <t>PIPE B36.10/36.19 A333 6-SMLS BE BE</t>
        </is>
      </c>
      <c r="H710" s="20" t="inlineStr">
        <is>
          <t>A333</t>
        </is>
      </c>
      <c r="I710" s="22" t="n">
        <v>3</v>
      </c>
      <c r="J710" s="21" t="inlineStr">
        <is>
          <t>STD</t>
        </is>
      </c>
      <c r="K710" s="20" t="inlineStr">
        <is>
          <t>I63649171</t>
        </is>
      </c>
      <c r="L710" s="22" t="n">
        <v>27.2</v>
      </c>
      <c r="M710" s="20">
        <f>IFERROR(LEFT(B710,SEARCH("_Rev",B710)-1),B710)</f>
        <v/>
      </c>
      <c r="N710" s="20">
        <f>IF(B710="","",IF(ISNUMBER(C710),IF(COUNTIFS($M$3:$M$1026,M710,$C$3:$C$1026,"&gt;"&amp;C710)=0,"CURRENT","SUPERSEDED"),"CURRENT"))</f>
        <v/>
      </c>
      <c r="O710" s="19" t="n"/>
    </row>
    <row r="711">
      <c r="A711" s="19" t="n"/>
      <c r="B711" s="20" t="inlineStr">
        <is>
          <t>4503-XH-DL-8905-8976-5003-HE-05_Rev0</t>
        </is>
      </c>
      <c r="C711" s="21" t="n">
        <v>0</v>
      </c>
      <c r="D711" s="21" t="inlineStr">
        <is>
          <t>13.08.2026</t>
        </is>
      </c>
      <c r="E711" s="20" t="inlineStr">
        <is>
          <t>IFC - ISSUED FOR CONSTRUCTION</t>
        </is>
      </c>
      <c r="F711" s="21" t="n">
        <v>8905</v>
      </c>
      <c r="G711" s="20" t="inlineStr">
        <is>
          <t>PIPE B36.10/36.19 A333 6-SMLS BE BE</t>
        </is>
      </c>
      <c r="H711" s="20" t="inlineStr">
        <is>
          <t>A333</t>
        </is>
      </c>
      <c r="I711" s="22" t="n">
        <v>3</v>
      </c>
      <c r="J711" s="21" t="inlineStr">
        <is>
          <t>STD</t>
        </is>
      </c>
      <c r="K711" s="20" t="inlineStr">
        <is>
          <t>I63649171</t>
        </is>
      </c>
      <c r="L711" s="22" t="n">
        <v>3.7</v>
      </c>
      <c r="M711" s="20">
        <f>IFERROR(LEFT(B711,SEARCH("_Rev",B711)-1),B711)</f>
        <v/>
      </c>
      <c r="N711" s="20">
        <f>IF(B711="","",IF(ISNUMBER(C711),IF(COUNTIFS($M$3:$M$1026,M711,$C$3:$C$1026,"&gt;"&amp;C711)=0,"CURRENT","SUPERSEDED"),"CURRENT"))</f>
        <v/>
      </c>
      <c r="O711" s="19" t="n"/>
    </row>
    <row r="712">
      <c r="A712" s="19" t="n"/>
      <c r="B712" s="20" t="inlineStr">
        <is>
          <t>4503-XH-DL-8905-8976-5003-HE-06_Rev0</t>
        </is>
      </c>
      <c r="C712" s="21" t="n">
        <v>0</v>
      </c>
      <c r="D712" s="21" t="inlineStr">
        <is>
          <t>13.08.2026</t>
        </is>
      </c>
      <c r="E712" s="20" t="inlineStr">
        <is>
          <t>IFC - ISSUED FOR CONSTRUCTION</t>
        </is>
      </c>
      <c r="F712" s="21" t="n">
        <v>8905</v>
      </c>
      <c r="G712" s="20" t="inlineStr">
        <is>
          <t>PIPE B36.10/36.19 A333 6-SMLS BE BE</t>
        </is>
      </c>
      <c r="H712" s="20" t="inlineStr">
        <is>
          <t>A333</t>
        </is>
      </c>
      <c r="I712" s="22" t="n">
        <v>3</v>
      </c>
      <c r="J712" s="21" t="inlineStr">
        <is>
          <t>STD</t>
        </is>
      </c>
      <c r="K712" s="20" t="inlineStr">
        <is>
          <t>I63649171</t>
        </is>
      </c>
      <c r="L712" s="22" t="n">
        <v>29.9</v>
      </c>
      <c r="M712" s="20">
        <f>IFERROR(LEFT(B712,SEARCH("_Rev",B712)-1),B712)</f>
        <v/>
      </c>
      <c r="N712" s="20">
        <f>IF(B712="","",IF(ISNUMBER(C712),IF(COUNTIFS($M$3:$M$1026,M712,$C$3:$C$1026,"&gt;"&amp;C712)=0,"CURRENT","SUPERSEDED"),"CURRENT"))</f>
        <v/>
      </c>
      <c r="O712" s="19" t="n"/>
    </row>
    <row r="713">
      <c r="A713" s="19" t="n"/>
      <c r="B713" s="20" t="inlineStr">
        <is>
          <t>4503-XH-DL-8905-8976-5003-HE-07_Rev0</t>
        </is>
      </c>
      <c r="C713" s="21" t="n">
        <v>0</v>
      </c>
      <c r="D713" s="21" t="inlineStr">
        <is>
          <t>13.08.2026</t>
        </is>
      </c>
      <c r="E713" s="20" t="inlineStr">
        <is>
          <t>IFC - ISSUED FOR CONSTRUCTION</t>
        </is>
      </c>
      <c r="F713" s="21" t="n">
        <v>8905</v>
      </c>
      <c r="G713" s="20" t="inlineStr">
        <is>
          <t>PIPE B36.10/36.19 A333 6-SMLS BE BE</t>
        </is>
      </c>
      <c r="H713" s="20" t="inlineStr">
        <is>
          <t>A333</t>
        </is>
      </c>
      <c r="I713" s="22" t="n">
        <v>3</v>
      </c>
      <c r="J713" s="21" t="inlineStr">
        <is>
          <t>STD</t>
        </is>
      </c>
      <c r="K713" s="20" t="inlineStr">
        <is>
          <t>I63649171</t>
        </is>
      </c>
      <c r="L713" s="22" t="n">
        <v>10.5</v>
      </c>
      <c r="M713" s="20">
        <f>IFERROR(LEFT(B713,SEARCH("_Rev",B713)-1),B713)</f>
        <v/>
      </c>
      <c r="N713" s="20">
        <f>IF(B713="","",IF(ISNUMBER(C713),IF(COUNTIFS($M$3:$M$1026,M713,$C$3:$C$1026,"&gt;"&amp;C713)=0,"CURRENT","SUPERSEDED"),"CURRENT"))</f>
        <v/>
      </c>
      <c r="O713" s="19" t="n"/>
    </row>
    <row r="714">
      <c r="A714" s="19" t="n"/>
      <c r="B714" s="20" t="inlineStr">
        <is>
          <t>4503-XH-DL-8905-8981-5004-WW22-01_Rev0</t>
        </is>
      </c>
      <c r="C714" s="21" t="n">
        <v>0</v>
      </c>
      <c r="D714" s="21" t="inlineStr">
        <is>
          <t>14.08.2026</t>
        </is>
      </c>
      <c r="E714" s="20" t="inlineStr">
        <is>
          <t>IFC - ISSUED FOR CONSTRUCTION</t>
        </is>
      </c>
      <c r="F714" s="21" t="n">
        <v>8905</v>
      </c>
      <c r="G714" s="20" t="inlineStr">
        <is>
          <t>PIPE B36.10/36.19 A333 6-SMLS BE BE</t>
        </is>
      </c>
      <c r="H714" s="20" t="inlineStr">
        <is>
          <t>A333</t>
        </is>
      </c>
      <c r="I714" s="22" t="n">
        <v>16</v>
      </c>
      <c r="J714" s="21" t="inlineStr">
        <is>
          <t>STD</t>
        </is>
      </c>
      <c r="K714" s="20" t="inlineStr">
        <is>
          <t>I65585719</t>
        </is>
      </c>
      <c r="L714" s="22" t="n">
        <v>34.4</v>
      </c>
      <c r="M714" s="20">
        <f>IFERROR(LEFT(B714,SEARCH("_Rev",B714)-1),B714)</f>
        <v/>
      </c>
      <c r="N714" s="20">
        <f>IF(B714="","",IF(ISNUMBER(C714),IF(COUNTIFS($M$3:$M$1026,M714,$C$3:$C$1026,"&gt;"&amp;C714)=0,"CURRENT","SUPERSEDED"),"CURRENT"))</f>
        <v/>
      </c>
      <c r="O714" s="19" t="n"/>
    </row>
    <row r="715">
      <c r="A715" s="19" t="n"/>
      <c r="B715" s="20" t="inlineStr">
        <is>
          <t>4503-XH-DL-8905-8981-5004-WW22-02_Rev0</t>
        </is>
      </c>
      <c r="C715" s="21" t="n">
        <v>0</v>
      </c>
      <c r="D715" s="21" t="inlineStr">
        <is>
          <t>14.08.2026</t>
        </is>
      </c>
      <c r="E715" s="20" t="inlineStr">
        <is>
          <t>IFC - ISSUED FOR CONSTRUCTION</t>
        </is>
      </c>
      <c r="F715" s="21" t="n">
        <v>8905</v>
      </c>
      <c r="G715" s="20" t="inlineStr">
        <is>
          <t>PIPE B36.10/36.19 A333 6-SMLS BE BE</t>
        </is>
      </c>
      <c r="H715" s="20" t="inlineStr">
        <is>
          <t>A333</t>
        </is>
      </c>
      <c r="I715" s="22" t="n">
        <v>16</v>
      </c>
      <c r="J715" s="21" t="inlineStr">
        <is>
          <t>STD</t>
        </is>
      </c>
      <c r="K715" s="20" t="inlineStr">
        <is>
          <t>I65585719</t>
        </is>
      </c>
      <c r="L715" s="22" t="n">
        <v>48</v>
      </c>
      <c r="M715" s="20">
        <f>IFERROR(LEFT(B715,SEARCH("_Rev",B715)-1),B715)</f>
        <v/>
      </c>
      <c r="N715" s="20">
        <f>IF(B715="","",IF(ISNUMBER(C715),IF(COUNTIFS($M$3:$M$1026,M715,$C$3:$C$1026,"&gt;"&amp;C715)=0,"CURRENT","SUPERSEDED"),"CURRENT"))</f>
        <v/>
      </c>
      <c r="O715" s="19" t="n"/>
    </row>
    <row r="716">
      <c r="A716" s="19" t="n"/>
      <c r="B716" s="20" t="inlineStr">
        <is>
          <t>4503-XH-DL-8905-8981-5004-WW22-03_Rev0</t>
        </is>
      </c>
      <c r="C716" s="21" t="n">
        <v>0</v>
      </c>
      <c r="D716" s="21" t="n">
        <v>46248</v>
      </c>
      <c r="E716" s="20" t="inlineStr">
        <is>
          <t>IFC - ISSUED FOR CONSTRUCTION</t>
        </is>
      </c>
      <c r="F716" s="21" t="n">
        <v>8905</v>
      </c>
      <c r="G716" s="20" t="inlineStr">
        <is>
          <t>PIPE B36.10/36.19 A333 6-SMLS BE BE</t>
        </is>
      </c>
      <c r="H716" s="20" t="inlineStr">
        <is>
          <t>A333</t>
        </is>
      </c>
      <c r="I716" s="22" t="n">
        <v>16</v>
      </c>
      <c r="J716" s="21" t="inlineStr">
        <is>
          <t>STD</t>
        </is>
      </c>
      <c r="K716" s="20" t="inlineStr">
        <is>
          <t>I65585719</t>
        </is>
      </c>
      <c r="L716" s="22" t="n">
        <v>76.7</v>
      </c>
      <c r="M716" s="20">
        <f>IFERROR(LEFT(B716,SEARCH("_Rev",B716)-1),B716)</f>
        <v/>
      </c>
      <c r="N716" s="20">
        <f>IF(B716="","",IF(ISNUMBER(C716),IF(COUNTIFS($M$3:$M$1026,M716,$C$3:$C$1026,"&gt;"&amp;C716)=0,"CURRENT","SUPERSEDED"),"CURRENT"))</f>
        <v/>
      </c>
      <c r="O716" s="19" t="n"/>
    </row>
    <row r="717">
      <c r="A717" s="19" t="n"/>
      <c r="B717" s="20" t="inlineStr">
        <is>
          <t>4503-XH-DL-8905-8981-5004-WW22-04_Rev0</t>
        </is>
      </c>
      <c r="C717" s="21" t="n">
        <v>0</v>
      </c>
      <c r="D717" s="21" t="inlineStr">
        <is>
          <t>14.08.2026</t>
        </is>
      </c>
      <c r="E717" s="20" t="inlineStr">
        <is>
          <t>IFC - ISSUED FOR CONSTRUCTION</t>
        </is>
      </c>
      <c r="F717" s="21" t="n">
        <v>8905</v>
      </c>
      <c r="G717" s="20" t="inlineStr">
        <is>
          <t>PIPE B36.10/36.19 A333 6-SMLS BE BE</t>
        </is>
      </c>
      <c r="H717" s="20" t="inlineStr">
        <is>
          <t>A333</t>
        </is>
      </c>
      <c r="I717" s="22" t="n">
        <v>16</v>
      </c>
      <c r="J717" s="21" t="inlineStr">
        <is>
          <t>STD</t>
        </is>
      </c>
      <c r="K717" s="20" t="inlineStr">
        <is>
          <t>I65585719</t>
        </is>
      </c>
      <c r="L717" s="22" t="n">
        <v>27.9</v>
      </c>
      <c r="M717" s="20">
        <f>IFERROR(LEFT(B717,SEARCH("_Rev",B717)-1),B717)</f>
        <v/>
      </c>
      <c r="N717" s="20">
        <f>IF(B717="","",IF(ISNUMBER(C717),IF(COUNTIFS($M$3:$M$1026,M717,$C$3:$C$1026,"&gt;"&amp;C717)=0,"CURRENT","SUPERSEDED"),"CURRENT"))</f>
        <v/>
      </c>
      <c r="O717" s="19" t="n"/>
    </row>
    <row r="718">
      <c r="A718" s="19" t="n"/>
      <c r="B718" s="20" t="inlineStr">
        <is>
          <t>4503-XH-DL-8905-8981-5004-WW22-05_Rev0</t>
        </is>
      </c>
      <c r="C718" s="21" t="n">
        <v>0</v>
      </c>
      <c r="D718" s="21" t="inlineStr">
        <is>
          <t>14.08.2026</t>
        </is>
      </c>
      <c r="E718" s="20" t="inlineStr">
        <is>
          <t>IFC - ISSUED FOR CONSTRUCTION</t>
        </is>
      </c>
      <c r="F718" s="21" t="n">
        <v>8905</v>
      </c>
      <c r="G718" s="20" t="inlineStr">
        <is>
          <t>PIPE B36.10/36.19 A333 6-SMLS BE BE</t>
        </is>
      </c>
      <c r="H718" s="20" t="inlineStr">
        <is>
          <t>A333</t>
        </is>
      </c>
      <c r="I718" s="22" t="n">
        <v>16</v>
      </c>
      <c r="J718" s="21" t="inlineStr">
        <is>
          <t>STD</t>
        </is>
      </c>
      <c r="K718" s="20" t="inlineStr">
        <is>
          <t>I65585719</t>
        </is>
      </c>
      <c r="L718" s="22" t="n">
        <v>4.4</v>
      </c>
      <c r="M718" s="20">
        <f>IFERROR(LEFT(B718,SEARCH("_Rev",B718)-1),B718)</f>
        <v/>
      </c>
      <c r="N718" s="20">
        <f>IF(B718="","",IF(ISNUMBER(C718),IF(COUNTIFS($M$3:$M$1026,M718,$C$3:$C$1026,"&gt;"&amp;C718)=0,"CURRENT","SUPERSEDED"),"CURRENT"))</f>
        <v/>
      </c>
      <c r="O718" s="19" t="n"/>
    </row>
    <row r="719">
      <c r="A719" s="19" t="n"/>
      <c r="B719" s="20" t="inlineStr">
        <is>
          <t>4503-XH-DL-8905-8981-5004-WW22-05_Rev0</t>
        </is>
      </c>
      <c r="C719" s="21" t="n">
        <v>0</v>
      </c>
      <c r="D719" s="21" t="inlineStr">
        <is>
          <t>14.08.2026</t>
        </is>
      </c>
      <c r="E719" s="20" t="inlineStr">
        <is>
          <t>IFC - ISSUED FOR CONSTRUCTION</t>
        </is>
      </c>
      <c r="F719" s="21" t="n">
        <v>8905</v>
      </c>
      <c r="G719" s="20" t="inlineStr">
        <is>
          <t>PIPE B36.10/36.19 A333 6-SMLS PE PE</t>
        </is>
      </c>
      <c r="H719" s="20" t="inlineStr">
        <is>
          <t>A333</t>
        </is>
      </c>
      <c r="I719" s="22" t="n">
        <v>1</v>
      </c>
      <c r="J719" s="21" t="inlineStr">
        <is>
          <t>XS</t>
        </is>
      </c>
      <c r="K719" s="20" t="inlineStr">
        <is>
          <t>I63649231</t>
        </is>
      </c>
      <c r="L719" s="22" t="n">
        <v>0.1</v>
      </c>
      <c r="M719" s="20">
        <f>IFERROR(LEFT(B719,SEARCH("_Rev",B719)-1),B719)</f>
        <v/>
      </c>
      <c r="N719" s="20">
        <f>IF(B719="","",IF(ISNUMBER(C719),IF(COUNTIFS($M$3:$M$1026,M719,$C$3:$C$1026,"&gt;"&amp;C719)=0,"CURRENT","SUPERSEDED"),"CURRENT"))</f>
        <v/>
      </c>
      <c r="O719" s="19" t="n"/>
    </row>
    <row r="720">
      <c r="A720" s="19" t="n"/>
      <c r="B720" s="20" t="inlineStr">
        <is>
          <t>4503-XH-DL-8905-8981-5006-WW22-01_Rev0</t>
        </is>
      </c>
      <c r="C720" s="21" t="n">
        <v>0</v>
      </c>
      <c r="D720" s="21" t="inlineStr">
        <is>
          <t>14.08.2026</t>
        </is>
      </c>
      <c r="E720" s="20" t="inlineStr">
        <is>
          <t>IFC - ISSUED FOR CONSTRUCTION</t>
        </is>
      </c>
      <c r="F720" s="21" t="n">
        <v>8905</v>
      </c>
      <c r="G720" s="20" t="inlineStr">
        <is>
          <t>PIPE B36.10/36.19 A333 6-SMLS BE BE</t>
        </is>
      </c>
      <c r="H720" s="20" t="inlineStr">
        <is>
          <t>A333</t>
        </is>
      </c>
      <c r="I720" s="22" t="n">
        <v>3</v>
      </c>
      <c r="J720" s="21" t="inlineStr">
        <is>
          <t>STD</t>
        </is>
      </c>
      <c r="K720" s="20" t="inlineStr">
        <is>
          <t>I63649171</t>
        </is>
      </c>
      <c r="L720" s="22" t="n">
        <v>8.199999999999999</v>
      </c>
      <c r="M720" s="20">
        <f>IFERROR(LEFT(B720,SEARCH("_Rev",B720)-1),B720)</f>
        <v/>
      </c>
      <c r="N720" s="20">
        <f>IF(B720="","",IF(ISNUMBER(C720),IF(COUNTIFS($M$3:$M$1026,M720,$C$3:$C$1026,"&gt;"&amp;C720)=0,"CURRENT","SUPERSEDED"),"CURRENT"))</f>
        <v/>
      </c>
      <c r="O720" s="19" t="n"/>
    </row>
    <row r="721">
      <c r="A721" s="19" t="n"/>
      <c r="B721" s="20" t="inlineStr">
        <is>
          <t>4503-XH-DL-3900-8920-5001-UW-01_Rev0</t>
        </is>
      </c>
      <c r="C721" s="21" t="n">
        <v>0</v>
      </c>
      <c r="D721" s="21" t="inlineStr">
        <is>
          <t>18.08.2026</t>
        </is>
      </c>
      <c r="E721" s="20" t="inlineStr">
        <is>
          <t>IFC - ISSUED FOR CONSTRUCTION</t>
        </is>
      </c>
      <c r="F721" s="21" t="n">
        <v>3900</v>
      </c>
      <c r="G721" s="20" t="inlineStr">
        <is>
          <t>PIPE B36.10/36.19 A333 6-SMLS BE BE</t>
        </is>
      </c>
      <c r="H721" s="20" t="inlineStr">
        <is>
          <t>A333</t>
        </is>
      </c>
      <c r="I721" s="22" t="n">
        <v>3</v>
      </c>
      <c r="J721" s="21" t="inlineStr">
        <is>
          <t>STD</t>
        </is>
      </c>
      <c r="K721" s="20" t="inlineStr">
        <is>
          <t>I63649171</t>
        </is>
      </c>
      <c r="L721" s="22" t="n">
        <v>40.4</v>
      </c>
      <c r="M721" s="20">
        <f>IFERROR(LEFT(B721,SEARCH("_Rev",B721)-1),B721)</f>
        <v/>
      </c>
      <c r="N721" s="20">
        <f>IF(B721="","",IF(ISNUMBER(C721),IF(COUNTIFS($M$3:$M$1026,M721,$C$3:$C$1026,"&gt;"&amp;C721)=0,"CURRENT","SUPERSEDED"),"CURRENT"))</f>
        <v/>
      </c>
      <c r="O721" s="19" t="n"/>
    </row>
    <row r="722">
      <c r="A722" s="19" t="n"/>
      <c r="B722" s="20" t="inlineStr">
        <is>
          <t>4503-XH-DL-3900-8920-5001-UW-02_Rev0</t>
        </is>
      </c>
      <c r="C722" s="21" t="n">
        <v>0</v>
      </c>
      <c r="D722" s="21" t="inlineStr">
        <is>
          <t>18.08.2026</t>
        </is>
      </c>
      <c r="E722" s="20" t="inlineStr">
        <is>
          <t>IFC - ISSUED FOR CONSTRUCTION</t>
        </is>
      </c>
      <c r="F722" s="21" t="n">
        <v>3900</v>
      </c>
      <c r="G722" s="20" t="inlineStr">
        <is>
          <t>PIPE B36.10/36.19 A333 6-SMLS BE BE</t>
        </is>
      </c>
      <c r="H722" s="20" t="inlineStr">
        <is>
          <t>A333</t>
        </is>
      </c>
      <c r="I722" s="22" t="n">
        <v>3</v>
      </c>
      <c r="J722" s="21" t="inlineStr">
        <is>
          <t>STD</t>
        </is>
      </c>
      <c r="K722" s="20" t="inlineStr">
        <is>
          <t>I63649171</t>
        </is>
      </c>
      <c r="L722" s="22" t="n">
        <v>5.6</v>
      </c>
      <c r="M722" s="20">
        <f>IFERROR(LEFT(B722,SEARCH("_Rev",B722)-1),B722)</f>
        <v/>
      </c>
      <c r="N722" s="20">
        <f>IF(B722="","",IF(ISNUMBER(C722),IF(COUNTIFS($M$3:$M$1026,M722,$C$3:$C$1026,"&gt;"&amp;C722)=0,"CURRENT","SUPERSEDED"),"CURRENT"))</f>
        <v/>
      </c>
      <c r="O722" s="19" t="n"/>
    </row>
    <row r="723">
      <c r="A723" s="19" t="n"/>
      <c r="B723" s="20" t="inlineStr">
        <is>
          <t>4503-XH-DL-3900-8940-5001-GWR-01_Rev0</t>
        </is>
      </c>
      <c r="C723" s="21" t="n">
        <v>0</v>
      </c>
      <c r="D723" s="21" t="inlineStr">
        <is>
          <t>18.08.2026</t>
        </is>
      </c>
      <c r="E723" s="20" t="inlineStr">
        <is>
          <t>IFC - ISSUED FOR CONSTRUCTION</t>
        </is>
      </c>
      <c r="F723" s="21" t="n">
        <v>3900</v>
      </c>
      <c r="G723" s="20" t="inlineStr">
        <is>
          <t>PIPE B36.10/36.19 A333 6-SMLS BE BE</t>
        </is>
      </c>
      <c r="H723" s="20" t="inlineStr">
        <is>
          <t>A333</t>
        </is>
      </c>
      <c r="I723" s="22" t="n">
        <v>2</v>
      </c>
      <c r="J723" s="21" t="inlineStr">
        <is>
          <t>XS</t>
        </is>
      </c>
      <c r="K723" s="20" t="inlineStr">
        <is>
          <t>I64108762</t>
        </is>
      </c>
      <c r="L723" s="22" t="n">
        <v>40.1</v>
      </c>
      <c r="M723" s="20">
        <f>IFERROR(LEFT(B723,SEARCH("_Rev",B723)-1),B723)</f>
        <v/>
      </c>
      <c r="N723" s="20">
        <f>IF(B723="","",IF(ISNUMBER(C723),IF(COUNTIFS($M$3:$M$1026,M723,$C$3:$C$1026,"&gt;"&amp;C723)=0,"CURRENT","SUPERSEDED"),"CURRENT"))</f>
        <v/>
      </c>
      <c r="O723" s="19" t="n"/>
    </row>
    <row r="724">
      <c r="A724" s="19" t="n"/>
      <c r="B724" s="20" t="inlineStr">
        <is>
          <t>4503-XH-DL-3900-8940-5001-GWS-01_Rev0</t>
        </is>
      </c>
      <c r="C724" s="21" t="n">
        <v>0</v>
      </c>
      <c r="D724" s="21" t="inlineStr">
        <is>
          <t>18.08.2026</t>
        </is>
      </c>
      <c r="E724" s="20" t="inlineStr">
        <is>
          <t>IFC - ISSUED FOR CONSTRUCTION</t>
        </is>
      </c>
      <c r="F724" s="21" t="n">
        <v>3900</v>
      </c>
      <c r="G724" s="20" t="inlineStr">
        <is>
          <t>PIPE B36.10/36.19 A333 6-SMLS BE BE</t>
        </is>
      </c>
      <c r="H724" s="20" t="inlineStr">
        <is>
          <t>A333</t>
        </is>
      </c>
      <c r="I724" s="22" t="n">
        <v>2</v>
      </c>
      <c r="J724" s="21" t="inlineStr">
        <is>
          <t>XS</t>
        </is>
      </c>
      <c r="K724" s="20" t="inlineStr">
        <is>
          <t>I64108762</t>
        </is>
      </c>
      <c r="L724" s="22" t="n">
        <v>34.8</v>
      </c>
      <c r="M724" s="20">
        <f>IFERROR(LEFT(B724,SEARCH("_Rev",B724)-1),B724)</f>
        <v/>
      </c>
      <c r="N724" s="20">
        <f>IF(B724="","",IF(ISNUMBER(C724),IF(COUNTIFS($M$3:$M$1026,M724,$C$3:$C$1026,"&gt;"&amp;C724)=0,"CURRENT","SUPERSEDED"),"CURRENT"))</f>
        <v/>
      </c>
      <c r="O724" s="19" t="n"/>
    </row>
    <row r="725">
      <c r="A725" s="19" t="n"/>
      <c r="B725" s="20" t="inlineStr">
        <is>
          <t>4503-XH-DL-3900-8953-5008-PA-01_Rev0</t>
        </is>
      </c>
      <c r="C725" s="21" t="n">
        <v>0</v>
      </c>
      <c r="D725" s="21" t="inlineStr">
        <is>
          <t>18.08.2026</t>
        </is>
      </c>
      <c r="E725" s="20" t="inlineStr">
        <is>
          <t>IFC - ISSUED FOR CONSTRUCTION</t>
        </is>
      </c>
      <c r="F725" s="21" t="n">
        <v>3900</v>
      </c>
      <c r="G725" s="20" t="inlineStr">
        <is>
          <t>PIPE B36.10/36.19 A333 6-SMLS BE BE</t>
        </is>
      </c>
      <c r="H725" s="20" t="inlineStr">
        <is>
          <t>A333</t>
        </is>
      </c>
      <c r="I725" s="22" t="n">
        <v>4</v>
      </c>
      <c r="J725" s="21" t="inlineStr">
        <is>
          <t>STD</t>
        </is>
      </c>
      <c r="K725" s="20" t="inlineStr">
        <is>
          <t>I63649186</t>
        </is>
      </c>
      <c r="L725" s="22" t="n">
        <v>41.9</v>
      </c>
      <c r="M725" s="20">
        <f>IFERROR(LEFT(B725,SEARCH("_Rev",B725)-1),B725)</f>
        <v/>
      </c>
      <c r="N725" s="20">
        <f>IF(B725="","",IF(ISNUMBER(C725),IF(COUNTIFS($M$3:$M$1026,M725,$C$3:$C$1026,"&gt;"&amp;C725)=0,"CURRENT","SUPERSEDED"),"CURRENT"))</f>
        <v/>
      </c>
      <c r="O725" s="19" t="n"/>
    </row>
    <row r="726">
      <c r="A726" s="19" t="n"/>
      <c r="B726" s="20" t="inlineStr">
        <is>
          <t>4503-XH-DL-3900-8967-5003-BU-01_Rev0</t>
        </is>
      </c>
      <c r="C726" s="21" t="n">
        <v>0</v>
      </c>
      <c r="D726" s="21" t="inlineStr">
        <is>
          <t>19.08.2026</t>
        </is>
      </c>
      <c r="E726" s="20" t="inlineStr">
        <is>
          <t>IFC - ISSUED FOR CONSTRUCTION</t>
        </is>
      </c>
      <c r="F726" s="21" t="n">
        <v>3900</v>
      </c>
      <c r="G726" s="20" t="inlineStr">
        <is>
          <t>PIPE B36.10/36.19 A333 6-SMLS BE BE</t>
        </is>
      </c>
      <c r="H726" s="20" t="inlineStr">
        <is>
          <t>A333</t>
        </is>
      </c>
      <c r="I726" s="22" t="n">
        <v>3</v>
      </c>
      <c r="J726" s="21" t="inlineStr">
        <is>
          <t>STD</t>
        </is>
      </c>
      <c r="K726" s="20" t="inlineStr">
        <is>
          <t>I63649171</t>
        </is>
      </c>
      <c r="L726" s="22" t="n">
        <v>28.1</v>
      </c>
      <c r="M726" s="20">
        <f>IFERROR(LEFT(B726,SEARCH("_Rev",B726)-1),B726)</f>
        <v/>
      </c>
      <c r="N726" s="20">
        <f>IF(B726="","",IF(ISNUMBER(C726),IF(COUNTIFS($M$3:$M$1026,M726,$C$3:$C$1026,"&gt;"&amp;C726)=0,"CURRENT","SUPERSEDED"),"CURRENT"))</f>
        <v/>
      </c>
      <c r="O726" s="19" t="n"/>
    </row>
    <row r="727">
      <c r="A727" s="19" t="n"/>
      <c r="B727" s="20" t="inlineStr">
        <is>
          <t>4503-XH-DL-3900-8967-5003-BU-02_Rev0</t>
        </is>
      </c>
      <c r="C727" s="21" t="n">
        <v>0</v>
      </c>
      <c r="D727" s="21" t="inlineStr">
        <is>
          <t>19.08.2026</t>
        </is>
      </c>
      <c r="E727" s="20" t="inlineStr">
        <is>
          <t>IFC - ISSUED FOR CONSTRUCTION</t>
        </is>
      </c>
      <c r="F727" s="21" t="n">
        <v>3900</v>
      </c>
      <c r="G727" s="20" t="inlineStr">
        <is>
          <t>PIPE B36.10/36.19 A333 6-SMLS BE BE</t>
        </is>
      </c>
      <c r="H727" s="20" t="inlineStr">
        <is>
          <t>A333</t>
        </is>
      </c>
      <c r="I727" s="22" t="n">
        <v>3</v>
      </c>
      <c r="J727" s="21" t="inlineStr">
        <is>
          <t>STD</t>
        </is>
      </c>
      <c r="K727" s="20" t="inlineStr">
        <is>
          <t>I63649171</t>
        </is>
      </c>
      <c r="L727" s="22" t="n">
        <v>13.7</v>
      </c>
      <c r="M727" s="20">
        <f>IFERROR(LEFT(B727,SEARCH("_Rev",B727)-1),B727)</f>
        <v/>
      </c>
      <c r="N727" s="20">
        <f>IF(B727="","",IF(ISNUMBER(C727),IF(COUNTIFS($M$3:$M$1026,M727,$C$3:$C$1026,"&gt;"&amp;C727)=0,"CURRENT","SUPERSEDED"),"CURRENT"))</f>
        <v/>
      </c>
      <c r="O727" s="19" t="n"/>
    </row>
    <row r="728">
      <c r="A728" s="19" t="n"/>
      <c r="B728" s="20" t="inlineStr">
        <is>
          <t>4503-XH-DL-3900-8972-5002-IPE-01_Rev0</t>
        </is>
      </c>
      <c r="C728" s="21" t="n">
        <v>0</v>
      </c>
      <c r="D728" s="21" t="inlineStr">
        <is>
          <t>19.08.2026</t>
        </is>
      </c>
      <c r="E728" s="20" t="inlineStr">
        <is>
          <t>IFC - ISSUED FOR CONSTRUCTION</t>
        </is>
      </c>
      <c r="F728" s="21" t="n">
        <v>3900</v>
      </c>
      <c r="G728" s="20" t="inlineStr">
        <is>
          <t>PIPE B36.10/36.19 A333 6-SMLS BE BE</t>
        </is>
      </c>
      <c r="H728" s="20" t="inlineStr">
        <is>
          <t>A333</t>
        </is>
      </c>
      <c r="I728" s="22" t="n">
        <v>2</v>
      </c>
      <c r="J728" s="21" t="inlineStr">
        <is>
          <t>XS</t>
        </is>
      </c>
      <c r="K728" s="20" t="inlineStr">
        <is>
          <t>I64108762</t>
        </is>
      </c>
      <c r="L728" s="22" t="n">
        <v>24</v>
      </c>
      <c r="M728" s="20">
        <f>IFERROR(LEFT(B728,SEARCH("_Rev",B728)-1),B728)</f>
        <v/>
      </c>
      <c r="N728" s="20">
        <f>IF(B728="","",IF(ISNUMBER(C728),IF(COUNTIFS($M$3:$M$1026,M728,$C$3:$C$1026,"&gt;"&amp;C728)=0,"CURRENT","SUPERSEDED"),"CURRENT"))</f>
        <v/>
      </c>
      <c r="O728" s="19" t="n"/>
    </row>
    <row r="729">
      <c r="A729" s="19" t="n"/>
      <c r="B729" s="20" t="inlineStr">
        <is>
          <t>4503-XH-DL-3900-8972-5002-IPE-02_Rev0</t>
        </is>
      </c>
      <c r="C729" s="21" t="n">
        <v>0</v>
      </c>
      <c r="D729" s="21" t="inlineStr">
        <is>
          <t>19.08.2026</t>
        </is>
      </c>
      <c r="E729" s="20" t="inlineStr">
        <is>
          <t>IFC - ISSUED FOR CONSTRUCTION</t>
        </is>
      </c>
      <c r="F729" s="21" t="n">
        <v>3900</v>
      </c>
      <c r="G729" s="20" t="inlineStr">
        <is>
          <t>PIPE B36.10/36.19 A333 6-SMLS BE BE</t>
        </is>
      </c>
      <c r="H729" s="20" t="inlineStr">
        <is>
          <t>A333</t>
        </is>
      </c>
      <c r="I729" s="22" t="n">
        <v>2</v>
      </c>
      <c r="J729" s="21" t="inlineStr">
        <is>
          <t>XS</t>
        </is>
      </c>
      <c r="K729" s="20" t="inlineStr">
        <is>
          <t>I64108762</t>
        </is>
      </c>
      <c r="L729" s="22" t="n">
        <v>23.9</v>
      </c>
      <c r="M729" s="20">
        <f>IFERROR(LEFT(B729,SEARCH("_Rev",B729)-1),B729)</f>
        <v/>
      </c>
      <c r="N729" s="20">
        <f>IF(B729="","",IF(ISNUMBER(C729),IF(COUNTIFS($M$3:$M$1026,M729,$C$3:$C$1026,"&gt;"&amp;C729)=0,"CURRENT","SUPERSEDED"),"CURRENT"))</f>
        <v/>
      </c>
      <c r="O729" s="19" t="n"/>
    </row>
    <row r="730">
      <c r="A730" s="19" t="n"/>
      <c r="B730" s="20" t="inlineStr">
        <is>
          <t>4503-XH-DL-3900-8976-5003-HE-01_Rev0</t>
        </is>
      </c>
      <c r="C730" s="21" t="n">
        <v>0</v>
      </c>
      <c r="D730" s="21" t="inlineStr">
        <is>
          <t>18.08.2026</t>
        </is>
      </c>
      <c r="E730" s="20" t="inlineStr">
        <is>
          <t>IFC - ISSUED FOR CONSTRUCTION</t>
        </is>
      </c>
      <c r="F730" s="21" t="n">
        <v>3900</v>
      </c>
      <c r="G730" s="20" t="inlineStr">
        <is>
          <t>PIPE B36.10/36.19 A333 6-SMLS BE BE</t>
        </is>
      </c>
      <c r="H730" s="20" t="inlineStr">
        <is>
          <t>A333</t>
        </is>
      </c>
      <c r="I730" s="22" t="n">
        <v>3</v>
      </c>
      <c r="J730" s="21" t="inlineStr">
        <is>
          <t>STD</t>
        </is>
      </c>
      <c r="K730" s="20" t="inlineStr">
        <is>
          <t>I63649171</t>
        </is>
      </c>
      <c r="L730" s="22" t="n">
        <v>23.8</v>
      </c>
      <c r="M730" s="20">
        <f>IFERROR(LEFT(B730,SEARCH("_Rev",B730)-1),B730)</f>
        <v/>
      </c>
      <c r="N730" s="20">
        <f>IF(B730="","",IF(ISNUMBER(C730),IF(COUNTIFS($M$3:$M$1026,M730,$C$3:$C$1026,"&gt;"&amp;C730)=0,"CURRENT","SUPERSEDED"),"CURRENT"))</f>
        <v/>
      </c>
      <c r="O730" s="19" t="n"/>
    </row>
    <row r="731">
      <c r="A731" s="19" t="n"/>
      <c r="B731" s="20" t="inlineStr">
        <is>
          <t>4503-XH-DL-3900-8976-5003-HE-02_Rev0</t>
        </is>
      </c>
      <c r="C731" s="21" t="n">
        <v>0</v>
      </c>
      <c r="D731" s="21" t="inlineStr">
        <is>
          <t>18.08.2026</t>
        </is>
      </c>
      <c r="E731" s="20" t="inlineStr">
        <is>
          <t>IFC - ISSUED FOR CONSTRUCTION</t>
        </is>
      </c>
      <c r="F731" s="21" t="n">
        <v>3900</v>
      </c>
      <c r="G731" s="20" t="inlineStr">
        <is>
          <t>PIPE B36.10/36.19 A333 6-SMLS BE BE</t>
        </is>
      </c>
      <c r="H731" s="20" t="inlineStr">
        <is>
          <t>A333</t>
        </is>
      </c>
      <c r="I731" s="22" t="n">
        <v>3</v>
      </c>
      <c r="J731" s="21" t="inlineStr">
        <is>
          <t>STD</t>
        </is>
      </c>
      <c r="K731" s="20" t="inlineStr">
        <is>
          <t>I63649171</t>
        </is>
      </c>
      <c r="L731" s="22" t="n">
        <v>14.9</v>
      </c>
      <c r="M731" s="20">
        <f>IFERROR(LEFT(B731,SEARCH("_Rev",B731)-1),B731)</f>
        <v/>
      </c>
      <c r="N731" s="20">
        <f>IF(B731="","",IF(ISNUMBER(C731),IF(COUNTIFS($M$3:$M$1026,M731,$C$3:$C$1026,"&gt;"&amp;C731)=0,"CURRENT","SUPERSEDED"),"CURRENT"))</f>
        <v/>
      </c>
      <c r="O731" s="19" t="n"/>
    </row>
    <row r="732">
      <c r="A732" s="19" t="n"/>
      <c r="B732" s="20" t="inlineStr">
        <is>
          <t>4503-XH-DL-3900-8976-5005-HE-01_Rev0</t>
        </is>
      </c>
      <c r="C732" s="21" t="n">
        <v>0</v>
      </c>
      <c r="D732" s="21" t="inlineStr">
        <is>
          <t>18.08.2026</t>
        </is>
      </c>
      <c r="E732" s="20" t="inlineStr">
        <is>
          <t>IFC - ISSUED FOR CONSTRUCTION</t>
        </is>
      </c>
      <c r="F732" s="21" t="n">
        <v>3900</v>
      </c>
      <c r="G732" s="20" t="inlineStr">
        <is>
          <t>PIPE B36.10/36.19 A333 6-SMLS BE BE</t>
        </is>
      </c>
      <c r="H732" s="20" t="inlineStr">
        <is>
          <t>A333</t>
        </is>
      </c>
      <c r="I732" s="22" t="n">
        <v>3</v>
      </c>
      <c r="J732" s="21" t="inlineStr">
        <is>
          <t>STD</t>
        </is>
      </c>
      <c r="K732" s="20" t="inlineStr">
        <is>
          <t>I63649171</t>
        </is>
      </c>
      <c r="L732" s="22" t="n">
        <v>28.1</v>
      </c>
      <c r="M732" s="20">
        <f>IFERROR(LEFT(B732,SEARCH("_Rev",B732)-1),B732)</f>
        <v/>
      </c>
      <c r="N732" s="20">
        <f>IF(B732="","",IF(ISNUMBER(C732),IF(COUNTIFS($M$3:$M$1026,M732,$C$3:$C$1026,"&gt;"&amp;C732)=0,"CURRENT","SUPERSEDED"),"CURRENT"))</f>
        <v/>
      </c>
      <c r="O732" s="19" t="n"/>
    </row>
    <row r="733">
      <c r="A733" s="19" t="n"/>
      <c r="B733" s="20" t="inlineStr">
        <is>
          <t>4503-XH-DL-3900-8976-5005-HE-02_Rev0</t>
        </is>
      </c>
      <c r="C733" s="21" t="n">
        <v>0</v>
      </c>
      <c r="D733" s="21" t="inlineStr">
        <is>
          <t>18.08.2026</t>
        </is>
      </c>
      <c r="E733" s="20" t="inlineStr">
        <is>
          <t>IFC - ISSUED FOR CONSTRUCTION</t>
        </is>
      </c>
      <c r="F733" s="21" t="n">
        <v>3900</v>
      </c>
      <c r="G733" s="20" t="inlineStr">
        <is>
          <t>PIPE B36.10/36.19 A333 6-SMLS BE BE</t>
        </is>
      </c>
      <c r="H733" s="20" t="inlineStr">
        <is>
          <t>A333</t>
        </is>
      </c>
      <c r="I733" s="22" t="n">
        <v>3</v>
      </c>
      <c r="J733" s="21" t="inlineStr">
        <is>
          <t>STD</t>
        </is>
      </c>
      <c r="K733" s="20" t="inlineStr">
        <is>
          <t>I63649171</t>
        </is>
      </c>
      <c r="L733" s="22" t="n">
        <v>7.7</v>
      </c>
      <c r="M733" s="20">
        <f>IFERROR(LEFT(B733,SEARCH("_Rev",B733)-1),B733)</f>
        <v/>
      </c>
      <c r="N733" s="20">
        <f>IF(B733="","",IF(ISNUMBER(C733),IF(COUNTIFS($M$3:$M$1026,M733,$C$3:$C$1026,"&gt;"&amp;C733)=0,"CURRENT","SUPERSEDED"),"CURRENT"))</f>
        <v/>
      </c>
      <c r="O733" s="19" t="n"/>
    </row>
    <row r="734">
      <c r="A734" s="19" t="n"/>
      <c r="B734" s="20" t="inlineStr">
        <is>
          <t>4503-XH-DL-4140-4141-1501-JR-01_Rev0</t>
        </is>
      </c>
      <c r="C734" s="21" t="n">
        <v>0</v>
      </c>
      <c r="D734" s="21" t="inlineStr">
        <is>
          <t>01.09.2026</t>
        </is>
      </c>
      <c r="E734" s="20" t="inlineStr">
        <is>
          <t>IFC-ISSUED FOR CONSTRUCTION</t>
        </is>
      </c>
      <c r="F734" s="21" t="n">
        <v>4140</v>
      </c>
      <c r="G734" s="20" t="inlineStr">
        <is>
          <t>PIPE B36.10/36.19 A333 6-SMLS BE BE</t>
        </is>
      </c>
      <c r="H734" s="20" t="inlineStr">
        <is>
          <t>A333</t>
        </is>
      </c>
      <c r="I734" s="22" t="n">
        <v>16</v>
      </c>
      <c r="J734" s="21" t="inlineStr">
        <is>
          <t>STD</t>
        </is>
      </c>
      <c r="K734" s="20" t="inlineStr">
        <is>
          <t>I65585719</t>
        </is>
      </c>
      <c r="L734" s="22" t="n">
        <v>7.9</v>
      </c>
      <c r="M734" s="20">
        <f>IFERROR(LEFT(B734,SEARCH("_Rev",B734)-1),B734)</f>
        <v/>
      </c>
      <c r="N734" s="20">
        <f>IF(B734="","",IF(ISNUMBER(C734),IF(COUNTIFS($M$3:$M$1026,M734,$C$3:$C$1026,"&gt;"&amp;C734)=0,"CURRENT","SUPERSEDED"),"CURRENT"))</f>
        <v/>
      </c>
      <c r="O734" s="19" t="n"/>
    </row>
    <row r="735">
      <c r="A735" s="19" t="n"/>
      <c r="B735" s="20" t="inlineStr">
        <is>
          <t>4503-XH-DL-4140-4141-1502-JS-01_Rev0</t>
        </is>
      </c>
      <c r="C735" s="21" t="n">
        <v>0</v>
      </c>
      <c r="D735" s="21" t="inlineStr">
        <is>
          <t>01.09.2026</t>
        </is>
      </c>
      <c r="E735" s="20" t="n"/>
      <c r="F735" s="21" t="n">
        <v>4140</v>
      </c>
      <c r="G735" s="20" t="inlineStr">
        <is>
          <t>PIPE B36.10/36.19 A333 6-SMLS BE BE</t>
        </is>
      </c>
      <c r="H735" s="20" t="inlineStr">
        <is>
          <t>A333</t>
        </is>
      </c>
      <c r="I735" s="22" t="n">
        <v>16</v>
      </c>
      <c r="J735" s="21" t="inlineStr">
        <is>
          <t>STD</t>
        </is>
      </c>
      <c r="K735" s="20" t="inlineStr">
        <is>
          <t>I65585719</t>
        </is>
      </c>
      <c r="L735" s="22" t="n">
        <v>8.300000000000001</v>
      </c>
      <c r="M735" s="20">
        <f>IFERROR(LEFT(B735,SEARCH("_Rev",B735)-1),B735)</f>
        <v/>
      </c>
      <c r="N735" s="20">
        <f>IF(B735="","",IF(ISNUMBER(C735),IF(COUNTIFS($M$3:$M$1026,M735,$C$3:$C$1026,"&gt;"&amp;C735)=0,"CURRENT","SUPERSEDED"),"CURRENT"))</f>
        <v/>
      </c>
      <c r="O735" s="19" t="n"/>
    </row>
    <row r="736">
      <c r="A736" s="19" t="n"/>
      <c r="B736" s="20" t="inlineStr">
        <is>
          <t>4503-XH-DL-4140-4141-1503-JS-01_Rev0</t>
        </is>
      </c>
      <c r="C736" s="21" t="n">
        <v>0</v>
      </c>
      <c r="D736" s="21" t="inlineStr">
        <is>
          <t>01.09.2026</t>
        </is>
      </c>
      <c r="E736" s="20" t="n"/>
      <c r="F736" s="21" t="n">
        <v>4140</v>
      </c>
      <c r="G736" s="20" t="inlineStr">
        <is>
          <t>PIPE B36.10/36.19 A333 6-SMLS BE BE</t>
        </is>
      </c>
      <c r="H736" s="20" t="inlineStr">
        <is>
          <t>A333</t>
        </is>
      </c>
      <c r="I736" s="22" t="n">
        <v>16</v>
      </c>
      <c r="J736" s="21" t="inlineStr">
        <is>
          <t>STD</t>
        </is>
      </c>
      <c r="K736" s="20" t="inlineStr">
        <is>
          <t>I65585719</t>
        </is>
      </c>
      <c r="L736" s="22" t="n">
        <v>8.300000000000001</v>
      </c>
      <c r="M736" s="20">
        <f>IFERROR(LEFT(B736,SEARCH("_Rev",B736)-1),B736)</f>
        <v/>
      </c>
      <c r="N736" s="20">
        <f>IF(B736="","",IF(ISNUMBER(C736),IF(COUNTIFS($M$3:$M$1026,M736,$C$3:$C$1026,"&gt;"&amp;C736)=0,"CURRENT","SUPERSEDED"),"CURRENT"))</f>
        <v/>
      </c>
      <c r="O736" s="19" t="n"/>
    </row>
    <row r="737">
      <c r="A737" s="19" t="n"/>
      <c r="B737" s="20" t="inlineStr">
        <is>
          <t>4503-XH-DL-4140-4141-1504-JS-01_Rev0</t>
        </is>
      </c>
      <c r="C737" s="21" t="n">
        <v>0</v>
      </c>
      <c r="D737" s="21" t="inlineStr">
        <is>
          <t>01.09.2026</t>
        </is>
      </c>
      <c r="E737" s="20" t="n"/>
      <c r="F737" s="21" t="n">
        <v>4140</v>
      </c>
      <c r="G737" s="20" t="inlineStr">
        <is>
          <t>PIPE B36.10/36.19 A333 6-SMLS BE BE</t>
        </is>
      </c>
      <c r="H737" s="20" t="inlineStr">
        <is>
          <t>A333</t>
        </is>
      </c>
      <c r="I737" s="22" t="n">
        <v>16</v>
      </c>
      <c r="J737" s="21" t="inlineStr">
        <is>
          <t>STD</t>
        </is>
      </c>
      <c r="K737" s="20" t="inlineStr">
        <is>
          <t>I65585719</t>
        </is>
      </c>
      <c r="L737" s="22" t="n">
        <v>8.699999999999999</v>
      </c>
      <c r="M737" s="20">
        <f>IFERROR(LEFT(B737,SEARCH("_Rev",B737)-1),B737)</f>
        <v/>
      </c>
      <c r="N737" s="20">
        <f>IF(B737="","",IF(ISNUMBER(C737),IF(COUNTIFS($M$3:$M$1026,M737,$C$3:$C$1026,"&gt;"&amp;C737)=0,"CURRENT","SUPERSEDED"),"CURRENT"))</f>
        <v/>
      </c>
      <c r="O737" s="19" t="n"/>
    </row>
    <row r="738">
      <c r="A738" s="19" t="n"/>
      <c r="B738" s="20" t="inlineStr">
        <is>
          <t>4503-XH-DL-4140-4141-1505-JR-01_Rev0</t>
        </is>
      </c>
      <c r="C738" s="21" t="n">
        <v>0</v>
      </c>
      <c r="D738" s="21" t="inlineStr">
        <is>
          <t>01.09.2026</t>
        </is>
      </c>
      <c r="E738" s="20" t="inlineStr">
        <is>
          <t>IFC-ISSUED FOR CONSTRUCTION</t>
        </is>
      </c>
      <c r="F738" s="21" t="n">
        <v>4140</v>
      </c>
      <c r="G738" s="20" t="inlineStr">
        <is>
          <t>PIPE B36.10/36.19 A333 6-SMLS BE BE</t>
        </is>
      </c>
      <c r="H738" s="20" t="inlineStr">
        <is>
          <t>A333</t>
        </is>
      </c>
      <c r="I738" s="22" t="n">
        <v>16</v>
      </c>
      <c r="J738" s="21" t="inlineStr">
        <is>
          <t>STD</t>
        </is>
      </c>
      <c r="K738" s="20" t="inlineStr">
        <is>
          <t>I65585719</t>
        </is>
      </c>
      <c r="L738" s="22" t="n">
        <v>7.9</v>
      </c>
      <c r="M738" s="20">
        <f>IFERROR(LEFT(B738,SEARCH("_Rev",B738)-1),B738)</f>
        <v/>
      </c>
      <c r="N738" s="20">
        <f>IF(B738="","",IF(ISNUMBER(C738),IF(COUNTIFS($M$3:$M$1026,M738,$C$3:$C$1026,"&gt;"&amp;C738)=0,"CURRENT","SUPERSEDED"),"CURRENT"))</f>
        <v/>
      </c>
      <c r="O738" s="19" t="n"/>
    </row>
    <row r="739">
      <c r="A739" s="19" t="n"/>
      <c r="B739" s="20" t="inlineStr">
        <is>
          <t>4503-XH-DL-4140-4141-1507-JR-01_Rev0</t>
        </is>
      </c>
      <c r="C739" s="21" t="n">
        <v>0</v>
      </c>
      <c r="D739" s="21" t="inlineStr">
        <is>
          <t>01.09.2026</t>
        </is>
      </c>
      <c r="E739" s="20" t="inlineStr">
        <is>
          <t>IFC-ISSUED FOR CONSTRUCTION</t>
        </is>
      </c>
      <c r="F739" s="21" t="n">
        <v>4140</v>
      </c>
      <c r="G739" s="20" t="inlineStr">
        <is>
          <t>PIPE B36.10/36.19 A333 6-SMLS BE BE</t>
        </is>
      </c>
      <c r="H739" s="20" t="inlineStr">
        <is>
          <t>A333</t>
        </is>
      </c>
      <c r="I739" s="22" t="n">
        <v>16</v>
      </c>
      <c r="J739" s="21" t="inlineStr">
        <is>
          <t>STD</t>
        </is>
      </c>
      <c r="K739" s="20" t="inlineStr">
        <is>
          <t>I65585719</t>
        </is>
      </c>
      <c r="L739" s="22" t="n">
        <v>7.5</v>
      </c>
      <c r="M739" s="20">
        <f>IFERROR(LEFT(B739,SEARCH("_Rev",B739)-1),B739)</f>
        <v/>
      </c>
      <c r="N739" s="20">
        <f>IF(B739="","",IF(ISNUMBER(C739),IF(COUNTIFS($M$3:$M$1026,M739,$C$3:$C$1026,"&gt;"&amp;C739)=0,"CURRENT","SUPERSEDED"),"CURRENT"))</f>
        <v/>
      </c>
      <c r="O739" s="19" t="n"/>
    </row>
    <row r="740">
      <c r="A740" s="19" t="n"/>
      <c r="B740" s="20" t="inlineStr">
        <is>
          <t>4503-XH-DL-4140-4141-1517-JS-01_Rev0</t>
        </is>
      </c>
      <c r="C740" s="21" t="n">
        <v>0</v>
      </c>
      <c r="D740" s="21" t="inlineStr">
        <is>
          <t>01.09.2026</t>
        </is>
      </c>
      <c r="E740" s="20" t="n"/>
      <c r="F740" s="21" t="n">
        <v>4140</v>
      </c>
      <c r="G740" s="20" t="inlineStr">
        <is>
          <t>PIPE B36.10/36.19 A333 6-SMLS BE BE</t>
        </is>
      </c>
      <c r="H740" s="20" t="inlineStr">
        <is>
          <t>A333</t>
        </is>
      </c>
      <c r="I740" s="22" t="n">
        <v>16</v>
      </c>
      <c r="J740" s="21" t="inlineStr">
        <is>
          <t>STD</t>
        </is>
      </c>
      <c r="K740" s="20" t="inlineStr">
        <is>
          <t>I65585719</t>
        </is>
      </c>
      <c r="L740" s="22" t="n">
        <v>8.699999999999999</v>
      </c>
      <c r="M740" s="20">
        <f>IFERROR(LEFT(B740,SEARCH("_Rev",B740)-1),B740)</f>
        <v/>
      </c>
      <c r="N740" s="20">
        <f>IF(B740="","",IF(ISNUMBER(C740),IF(COUNTIFS($M$3:$M$1026,M740,$C$3:$C$1026,"&gt;"&amp;C740)=0,"CURRENT","SUPERSEDED"),"CURRENT"))</f>
        <v/>
      </c>
      <c r="O740" s="19" t="n"/>
    </row>
    <row r="741">
      <c r="A741" s="19" t="n"/>
      <c r="B741" s="20" t="inlineStr">
        <is>
          <t>4503-XH-DL-4140-4141-1521-JR-01_Rev0</t>
        </is>
      </c>
      <c r="C741" s="21" t="n">
        <v>0</v>
      </c>
      <c r="D741" s="21" t="inlineStr">
        <is>
          <t>01.09.2026</t>
        </is>
      </c>
      <c r="E741" s="20" t="n"/>
      <c r="F741" s="21" t="n">
        <v>4140</v>
      </c>
      <c r="G741" s="20" t="inlineStr">
        <is>
          <t>PIPE B36.10/36.19 A333 6-SMLS BE BE</t>
        </is>
      </c>
      <c r="H741" s="20" t="inlineStr">
        <is>
          <t>A333</t>
        </is>
      </c>
      <c r="I741" s="22" t="n">
        <v>16</v>
      </c>
      <c r="J741" s="21" t="inlineStr">
        <is>
          <t>STD</t>
        </is>
      </c>
      <c r="K741" s="20" t="inlineStr">
        <is>
          <t>I65585719</t>
        </is>
      </c>
      <c r="L741" s="22" t="n">
        <v>7.5</v>
      </c>
      <c r="M741" s="20">
        <f>IFERROR(LEFT(B741,SEARCH("_Rev",B741)-1),B741)</f>
        <v/>
      </c>
      <c r="N741" s="20">
        <f>IF(B741="","",IF(ISNUMBER(C741),IF(COUNTIFS($M$3:$M$1026,M741,$C$3:$C$1026,"&gt;"&amp;C741)=0,"CURRENT","SUPERSEDED"),"CURRENT"))</f>
        <v/>
      </c>
      <c r="O741" s="19" t="n"/>
    </row>
    <row r="742">
      <c r="A742" s="19" t="n"/>
      <c r="B742" s="20" t="inlineStr">
        <is>
          <t>4503-XH-DL-4140-4141-1701-JS-01_Rev0</t>
        </is>
      </c>
      <c r="C742" s="21" t="n">
        <v>0</v>
      </c>
      <c r="D742" s="21" t="inlineStr">
        <is>
          <t>01.09.2026</t>
        </is>
      </c>
      <c r="E742" s="20" t="n"/>
      <c r="F742" s="21" t="n">
        <v>4140</v>
      </c>
      <c r="G742" s="20" t="inlineStr">
        <is>
          <t>PIPE B36.10/36.19 A671 CC60 CL.22 S2 BE BE</t>
        </is>
      </c>
      <c r="H742" s="20" t="inlineStr">
        <is>
          <t>A671</t>
        </is>
      </c>
      <c r="I742" s="22" t="n">
        <v>30</v>
      </c>
      <c r="J742" s="21" t="inlineStr">
        <is>
          <t>XS</t>
        </is>
      </c>
      <c r="K742" s="20" t="inlineStr">
        <is>
          <t>I65622124</t>
        </is>
      </c>
      <c r="L742" s="22" t="n">
        <v>14.5</v>
      </c>
      <c r="M742" s="20">
        <f>IFERROR(LEFT(B742,SEARCH("_Rev",B742)-1),B742)</f>
        <v/>
      </c>
      <c r="N742" s="20">
        <f>IF(B742="","",IF(ISNUMBER(C742),IF(COUNTIFS($M$3:$M$1026,M742,$C$3:$C$1026,"&gt;"&amp;C742)=0,"CURRENT","SUPERSEDED"),"CURRENT"))</f>
        <v/>
      </c>
      <c r="O742" s="19" t="n"/>
    </row>
    <row r="743">
      <c r="A743" s="19" t="n"/>
      <c r="B743" s="20" t="inlineStr">
        <is>
          <t>4503-XH-DL-4140-4141-1701-JS-01_Rev0</t>
        </is>
      </c>
      <c r="C743" s="21" t="n">
        <v>0</v>
      </c>
      <c r="D743" s="21" t="inlineStr">
        <is>
          <t>01.09.2026</t>
        </is>
      </c>
      <c r="E743" s="20" t="n"/>
      <c r="F743" s="21" t="n">
        <v>4140</v>
      </c>
      <c r="G743" s="20" t="inlineStr">
        <is>
          <t>PIPE B36.10/36.19 A333 6-SMLS BE BE</t>
        </is>
      </c>
      <c r="H743" s="20" t="inlineStr">
        <is>
          <t>A333</t>
        </is>
      </c>
      <c r="I743" s="22" t="n">
        <v>20</v>
      </c>
      <c r="J743" s="21" t="inlineStr">
        <is>
          <t>STD</t>
        </is>
      </c>
      <c r="K743" s="20" t="inlineStr">
        <is>
          <t>I64108758</t>
        </is>
      </c>
      <c r="L743" s="22" t="n">
        <v>30.6</v>
      </c>
      <c r="M743" s="20">
        <f>IFERROR(LEFT(B743,SEARCH("_Rev",B743)-1),B743)</f>
        <v/>
      </c>
      <c r="N743" s="20">
        <f>IF(B743="","",IF(ISNUMBER(C743),IF(COUNTIFS($M$3:$M$1026,M743,$C$3:$C$1026,"&gt;"&amp;C743)=0,"CURRENT","SUPERSEDED"),"CURRENT"))</f>
        <v/>
      </c>
      <c r="O743" s="19" t="n"/>
    </row>
    <row r="744">
      <c r="A744" s="19" t="n"/>
      <c r="B744" s="20" t="inlineStr">
        <is>
          <t>4503-XH-DL-4140-4141-5001-JR-01_Rev0</t>
        </is>
      </c>
      <c r="C744" s="21" t="n">
        <v>0</v>
      </c>
      <c r="D744" s="21" t="inlineStr">
        <is>
          <t>01.09.2026</t>
        </is>
      </c>
      <c r="E744" s="20" t="n"/>
      <c r="F744" s="21" t="n">
        <v>4140</v>
      </c>
      <c r="G744" s="20" t="inlineStr">
        <is>
          <t>PIPE B36.10/36.19 A671 CC60 CL.22 S2 BE BE</t>
        </is>
      </c>
      <c r="H744" s="20" t="inlineStr">
        <is>
          <t>A671</t>
        </is>
      </c>
      <c r="I744" s="22" t="n">
        <v>32</v>
      </c>
      <c r="J744" s="21" t="inlineStr">
        <is>
          <t>XS</t>
        </is>
      </c>
      <c r="K744" s="20" t="inlineStr">
        <is>
          <t>I65622125</t>
        </is>
      </c>
      <c r="L744" s="22" t="n">
        <v>14.2</v>
      </c>
      <c r="M744" s="20">
        <f>IFERROR(LEFT(B744,SEARCH("_Rev",B744)-1),B744)</f>
        <v/>
      </c>
      <c r="N744" s="20">
        <f>IF(B744="","",IF(ISNUMBER(C744),IF(COUNTIFS($M$3:$M$1026,M744,$C$3:$C$1026,"&gt;"&amp;C744)=0,"CURRENT","SUPERSEDED"),"CURRENT"))</f>
        <v/>
      </c>
      <c r="O744" s="19" t="n"/>
    </row>
    <row r="745">
      <c r="A745" s="19" t="n"/>
      <c r="B745" s="20" t="inlineStr">
        <is>
          <t>4503-XH-DL-4140-4141-5001-JR-01_Rev0</t>
        </is>
      </c>
      <c r="C745" s="21" t="n">
        <v>0</v>
      </c>
      <c r="D745" s="21" t="inlineStr">
        <is>
          <t>01.09.2026</t>
        </is>
      </c>
      <c r="E745" s="20" t="n"/>
      <c r="F745" s="21" t="n">
        <v>4140</v>
      </c>
      <c r="G745" s="20" t="inlineStr">
        <is>
          <t>PIPE B36.10/36.19 A333 6-SMLS BE BE</t>
        </is>
      </c>
      <c r="H745" s="20" t="inlineStr">
        <is>
          <t>A333</t>
        </is>
      </c>
      <c r="I745" s="22" t="n">
        <v>20</v>
      </c>
      <c r="J745" s="21" t="inlineStr">
        <is>
          <t>STD</t>
        </is>
      </c>
      <c r="K745" s="20" t="inlineStr">
        <is>
          <t>I64108758</t>
        </is>
      </c>
      <c r="L745" s="22" t="n">
        <v>25.2</v>
      </c>
      <c r="M745" s="20">
        <f>IFERROR(LEFT(B745,SEARCH("_Rev",B745)-1),B745)</f>
        <v/>
      </c>
      <c r="N745" s="20">
        <f>IF(B745="","",IF(ISNUMBER(C745),IF(COUNTIFS($M$3:$M$1026,M745,$C$3:$C$1026,"&gt;"&amp;C745)=0,"CURRENT","SUPERSEDED"),"CURRENT"))</f>
        <v/>
      </c>
      <c r="O745" s="19" t="n"/>
    </row>
    <row r="746">
      <c r="A746" s="19" t="n"/>
      <c r="B746" s="20" t="inlineStr">
        <is>
          <t>4503-XH-DL-4140-4142-2501-JR-01_Rev0</t>
        </is>
      </c>
      <c r="C746" s="21" t="n">
        <v>0</v>
      </c>
      <c r="D746" s="21" t="inlineStr">
        <is>
          <t>01.09.2026</t>
        </is>
      </c>
      <c r="E746" s="20" t="n"/>
      <c r="F746" s="21" t="n">
        <v>4140</v>
      </c>
      <c r="G746" s="20" t="inlineStr">
        <is>
          <t>PIPE B36.10/36.19 A671 CC60 CL.22 S2 BE BE</t>
        </is>
      </c>
      <c r="H746" s="20" t="inlineStr">
        <is>
          <t>A671</t>
        </is>
      </c>
      <c r="I746" s="22" t="n">
        <v>32</v>
      </c>
      <c r="J746" s="21" t="inlineStr">
        <is>
          <t>XS</t>
        </is>
      </c>
      <c r="K746" s="20" t="inlineStr">
        <is>
          <t>I65622125</t>
        </is>
      </c>
      <c r="L746" s="22" t="n">
        <v>13.6</v>
      </c>
      <c r="M746" s="20">
        <f>IFERROR(LEFT(B746,SEARCH("_Rev",B746)-1),B746)</f>
        <v/>
      </c>
      <c r="N746" s="20">
        <f>IF(B746="","",IF(ISNUMBER(C746),IF(COUNTIFS($M$3:$M$1026,M746,$C$3:$C$1026,"&gt;"&amp;C746)=0,"CURRENT","SUPERSEDED"),"CURRENT"))</f>
        <v/>
      </c>
      <c r="O746" s="19" t="n"/>
    </row>
    <row r="747">
      <c r="A747" s="19" t="n"/>
      <c r="B747" s="20" t="inlineStr">
        <is>
          <t>4503-XH-DL-4140-4142-2502-JR-01_Rev0</t>
        </is>
      </c>
      <c r="C747" s="21" t="n">
        <v>0</v>
      </c>
      <c r="D747" s="21" t="inlineStr">
        <is>
          <t>01.09.2026</t>
        </is>
      </c>
      <c r="E747" s="20" t="n"/>
      <c r="F747" s="21" t="n">
        <v>4140</v>
      </c>
      <c r="G747" s="20" t="inlineStr">
        <is>
          <t>PIPE B36.10/36.19 A333 6-SMLS BE BE</t>
        </is>
      </c>
      <c r="H747" s="20" t="inlineStr">
        <is>
          <t>A333</t>
        </is>
      </c>
      <c r="I747" s="22" t="n">
        <v>16</v>
      </c>
      <c r="J747" s="21" t="inlineStr">
        <is>
          <t>STD</t>
        </is>
      </c>
      <c r="K747" s="20" t="inlineStr">
        <is>
          <t>I65585719</t>
        </is>
      </c>
      <c r="L747" s="22" t="n">
        <v>7.9</v>
      </c>
      <c r="M747" s="20">
        <f>IFERROR(LEFT(B747,SEARCH("_Rev",B747)-1),B747)</f>
        <v/>
      </c>
      <c r="N747" s="20">
        <f>IF(B747="","",IF(ISNUMBER(C747),IF(COUNTIFS($M$3:$M$1026,M747,$C$3:$C$1026,"&gt;"&amp;C747)=0,"CURRENT","SUPERSEDED"),"CURRENT"))</f>
        <v/>
      </c>
      <c r="O747" s="19" t="n"/>
    </row>
    <row r="748">
      <c r="A748" s="19" t="n"/>
      <c r="B748" s="20" t="inlineStr">
        <is>
          <t>4503-XH-DL-4140-4142-2503-JR-01_Rev0</t>
        </is>
      </c>
      <c r="C748" s="21" t="n">
        <v>0</v>
      </c>
      <c r="D748" s="21" t="inlineStr">
        <is>
          <t>01.09.2026</t>
        </is>
      </c>
      <c r="E748" s="20" t="n"/>
      <c r="F748" s="21" t="n">
        <v>4140</v>
      </c>
      <c r="G748" s="20" t="inlineStr">
        <is>
          <t>PIPE B36.10/36.19 A333 6-SMLS BE BE</t>
        </is>
      </c>
      <c r="H748" s="20" t="inlineStr">
        <is>
          <t>A333</t>
        </is>
      </c>
      <c r="I748" s="22" t="n">
        <v>16</v>
      </c>
      <c r="J748" s="21" t="inlineStr">
        <is>
          <t>STD</t>
        </is>
      </c>
      <c r="K748" s="20" t="inlineStr">
        <is>
          <t>I65585719</t>
        </is>
      </c>
      <c r="L748" s="22" t="n">
        <v>7.5</v>
      </c>
      <c r="M748" s="20">
        <f>IFERROR(LEFT(B748,SEARCH("_Rev",B748)-1),B748)</f>
        <v/>
      </c>
      <c r="N748" s="20">
        <f>IF(B748="","",IF(ISNUMBER(C748),IF(COUNTIFS($M$3:$M$1026,M748,$C$3:$C$1026,"&gt;"&amp;C748)=0,"CURRENT","SUPERSEDED"),"CURRENT"))</f>
        <v/>
      </c>
      <c r="O748" s="19" t="n"/>
    </row>
    <row r="749">
      <c r="A749" s="19" t="n"/>
      <c r="B749" s="20" t="inlineStr">
        <is>
          <t>4503-XH-DL-4140-4142-2512-JS-01_Rev0</t>
        </is>
      </c>
      <c r="C749" s="21" t="n">
        <v>0</v>
      </c>
      <c r="D749" s="21" t="inlineStr">
        <is>
          <t>01.09.2026</t>
        </is>
      </c>
      <c r="E749" s="20" t="n"/>
      <c r="F749" s="21" t="n">
        <v>4140</v>
      </c>
      <c r="G749" s="20" t="inlineStr">
        <is>
          <t>PIPE B36.10/36.19 A333 6-SMLS BE BE</t>
        </is>
      </c>
      <c r="H749" s="20" t="inlineStr">
        <is>
          <t>A333</t>
        </is>
      </c>
      <c r="I749" s="22" t="n">
        <v>16</v>
      </c>
      <c r="J749" s="21" t="inlineStr">
        <is>
          <t>STD</t>
        </is>
      </c>
      <c r="K749" s="20" t="inlineStr">
        <is>
          <t>I65585719</t>
        </is>
      </c>
      <c r="L749" s="22" t="n">
        <v>8.300000000000001</v>
      </c>
      <c r="M749" s="20">
        <f>IFERROR(LEFT(B749,SEARCH("_Rev",B749)-1),B749)</f>
        <v/>
      </c>
      <c r="N749" s="20">
        <f>IF(B749="","",IF(ISNUMBER(C749),IF(COUNTIFS($M$3:$M$1026,M749,$C$3:$C$1026,"&gt;"&amp;C749)=0,"CURRENT","SUPERSEDED"),"CURRENT"))</f>
        <v/>
      </c>
      <c r="O749" s="19" t="n"/>
    </row>
    <row r="750">
      <c r="A750" s="19" t="n"/>
      <c r="B750" s="20" t="inlineStr">
        <is>
          <t>4503-XH-DL-4140-4142-2519-JS-01_Rev0</t>
        </is>
      </c>
      <c r="C750" s="21" t="n">
        <v>0</v>
      </c>
      <c r="D750" s="21" t="inlineStr">
        <is>
          <t>01.09.2026</t>
        </is>
      </c>
      <c r="E750" s="20" t="n"/>
      <c r="F750" s="21" t="n">
        <v>4140</v>
      </c>
      <c r="G750" s="20" t="inlineStr">
        <is>
          <t>PIPE B36.10/36.19 A333 6-SMLS BE BE</t>
        </is>
      </c>
      <c r="H750" s="20" t="inlineStr">
        <is>
          <t>A333</t>
        </is>
      </c>
      <c r="I750" s="22" t="n">
        <v>16</v>
      </c>
      <c r="J750" s="21" t="inlineStr">
        <is>
          <t>STD</t>
        </is>
      </c>
      <c r="K750" s="20" t="inlineStr">
        <is>
          <t>I65585719</t>
        </is>
      </c>
      <c r="L750" s="22" t="n">
        <v>8.699999999999999</v>
      </c>
      <c r="M750" s="20">
        <f>IFERROR(LEFT(B750,SEARCH("_Rev",B750)-1),B750)</f>
        <v/>
      </c>
      <c r="N750" s="20">
        <f>IF(B750="","",IF(ISNUMBER(C750),IF(COUNTIFS($M$3:$M$1026,M750,$C$3:$C$1026,"&gt;"&amp;C750)=0,"CURRENT","SUPERSEDED"),"CURRENT"))</f>
        <v/>
      </c>
      <c r="O750" s="19" t="n"/>
    </row>
    <row r="751">
      <c r="A751" s="19" t="n"/>
      <c r="B751" s="20" t="inlineStr">
        <is>
          <t>4503-XH-DL-4140-4142-2701-JS-01_Rev0</t>
        </is>
      </c>
      <c r="C751" s="21" t="n">
        <v>0</v>
      </c>
      <c r="D751" s="21" t="inlineStr">
        <is>
          <t>01.09.2026</t>
        </is>
      </c>
      <c r="E751" s="20" t="n"/>
      <c r="F751" s="21" t="n">
        <v>4140</v>
      </c>
      <c r="G751" s="20" t="inlineStr">
        <is>
          <t>PIPE B36.10/36.19 A671 CC60 CL.22 S2 BE BE</t>
        </is>
      </c>
      <c r="H751" s="20" t="inlineStr">
        <is>
          <t>A671</t>
        </is>
      </c>
      <c r="I751" s="22" t="n">
        <v>30</v>
      </c>
      <c r="J751" s="21" t="inlineStr">
        <is>
          <t>XS</t>
        </is>
      </c>
      <c r="K751" s="20" t="inlineStr">
        <is>
          <t>I65622124</t>
        </is>
      </c>
      <c r="L751" s="22" t="n">
        <v>14.4</v>
      </c>
      <c r="M751" s="20">
        <f>IFERROR(LEFT(B751,SEARCH("_Rev",B751)-1),B751)</f>
        <v/>
      </c>
      <c r="N751" s="20">
        <f>IF(B751="","",IF(ISNUMBER(C751),IF(COUNTIFS($M$3:$M$1026,M751,$C$3:$C$1026,"&gt;"&amp;C751)=0,"CURRENT","SUPERSEDED"),"CURRENT"))</f>
        <v/>
      </c>
      <c r="O751" s="19" t="n"/>
    </row>
    <row r="752">
      <c r="A752" s="19" t="n"/>
      <c r="B752" s="20" t="inlineStr">
        <is>
          <t>4503-XH-DL-4140-4142-2725-JR-01_Rev0</t>
        </is>
      </c>
      <c r="C752" s="21" t="n">
        <v>0</v>
      </c>
      <c r="D752" s="21" t="inlineStr">
        <is>
          <t>01.09.2026</t>
        </is>
      </c>
      <c r="E752" s="20" t="n"/>
      <c r="F752" s="21" t="n">
        <v>4140</v>
      </c>
      <c r="G752" s="20" t="inlineStr">
        <is>
          <t>PIPE B36.10/36.19 A333 6-SMLS BE BE</t>
        </is>
      </c>
      <c r="H752" s="20" t="inlineStr">
        <is>
          <t>A333</t>
        </is>
      </c>
      <c r="I752" s="22" t="n">
        <v>16</v>
      </c>
      <c r="J752" s="21" t="inlineStr">
        <is>
          <t>STD</t>
        </is>
      </c>
      <c r="K752" s="20" t="inlineStr">
        <is>
          <t>I65585719</t>
        </is>
      </c>
      <c r="L752" s="22" t="n">
        <v>7.9</v>
      </c>
      <c r="M752" s="20">
        <f>IFERROR(LEFT(B752,SEARCH("_Rev",B752)-1),B752)</f>
        <v/>
      </c>
      <c r="N752" s="20">
        <f>IF(B752="","",IF(ISNUMBER(C752),IF(COUNTIFS($M$3:$M$1026,M752,$C$3:$C$1026,"&gt;"&amp;C752)=0,"CURRENT","SUPERSEDED"),"CURRENT"))</f>
        <v/>
      </c>
      <c r="O752" s="19" t="n"/>
    </row>
    <row r="753">
      <c r="A753" s="19" t="n"/>
      <c r="B753" s="20" t="inlineStr">
        <is>
          <t>4503-XH-DL-4140-4142-2726-JR-01_Rev0</t>
        </is>
      </c>
      <c r="C753" s="21" t="n">
        <v>0</v>
      </c>
      <c r="D753" s="21" t="inlineStr">
        <is>
          <t>01.09.2026</t>
        </is>
      </c>
      <c r="E753" s="20" t="n"/>
      <c r="F753" s="21" t="n">
        <v>4140</v>
      </c>
      <c r="G753" s="20" t="inlineStr">
        <is>
          <t>PIPE B36.10/36.19 A333 6-SMLS BE BE</t>
        </is>
      </c>
      <c r="H753" s="20" t="inlineStr">
        <is>
          <t>A333</t>
        </is>
      </c>
      <c r="I753" s="22" t="n">
        <v>16</v>
      </c>
      <c r="J753" s="21" t="inlineStr">
        <is>
          <t>STD</t>
        </is>
      </c>
      <c r="K753" s="20" t="inlineStr">
        <is>
          <t>I65585719</t>
        </is>
      </c>
      <c r="L753" s="22" t="n">
        <v>7.5</v>
      </c>
      <c r="M753" s="20">
        <f>IFERROR(LEFT(B753,SEARCH("_Rev",B753)-1),B753)</f>
        <v/>
      </c>
      <c r="N753" s="20">
        <f>IF(B753="","",IF(ISNUMBER(C753),IF(COUNTIFS($M$3:$M$1026,M753,$C$3:$C$1026,"&gt;"&amp;C753)=0,"CURRENT","SUPERSEDED"),"CURRENT"))</f>
        <v/>
      </c>
      <c r="O753" s="19" t="n"/>
    </row>
    <row r="754">
      <c r="A754" s="19" t="n"/>
      <c r="B754" s="20" t="inlineStr">
        <is>
          <t>4503-XH-DL-4140-4142-2727-JR-01_Rev0</t>
        </is>
      </c>
      <c r="C754" s="21" t="n">
        <v>0</v>
      </c>
      <c r="D754" s="21" t="inlineStr">
        <is>
          <t>01.09.2026</t>
        </is>
      </c>
      <c r="E754" s="20" t="n"/>
      <c r="F754" s="21" t="n">
        <v>4140</v>
      </c>
      <c r="G754" s="20" t="inlineStr">
        <is>
          <t>PIPE B36.10/36.19 A333 6-SMLS BE BE</t>
        </is>
      </c>
      <c r="H754" s="20" t="inlineStr">
        <is>
          <t>A333</t>
        </is>
      </c>
      <c r="I754" s="22" t="n">
        <v>20</v>
      </c>
      <c r="J754" s="21" t="inlineStr">
        <is>
          <t>STD</t>
        </is>
      </c>
      <c r="K754" s="20" t="inlineStr">
        <is>
          <t>I64108758</t>
        </is>
      </c>
      <c r="L754" s="22" t="n">
        <v>10.2</v>
      </c>
      <c r="M754" s="20">
        <f>IFERROR(LEFT(B754,SEARCH("_Rev",B754)-1),B754)</f>
        <v/>
      </c>
      <c r="N754" s="20">
        <f>IF(B754="","",IF(ISNUMBER(C754),IF(COUNTIFS($M$3:$M$1026,M754,$C$3:$C$1026,"&gt;"&amp;C754)=0,"CURRENT","SUPERSEDED"),"CURRENT"))</f>
        <v/>
      </c>
      <c r="O754" s="19" t="n"/>
    </row>
    <row r="755">
      <c r="A755" s="19" t="n"/>
      <c r="B755" s="20" t="inlineStr">
        <is>
          <t>4503-XH-DL-4140-4142-2728-JR-01_Rev0</t>
        </is>
      </c>
      <c r="C755" s="21" t="n">
        <v>0</v>
      </c>
      <c r="D755" s="21" t="inlineStr">
        <is>
          <t>01.09.2026</t>
        </is>
      </c>
      <c r="E755" s="20" t="n"/>
      <c r="F755" s="21" t="n">
        <v>4140</v>
      </c>
      <c r="G755" s="20" t="inlineStr">
        <is>
          <t>PIPE B36.10/36.19 A333 6-SMLS BE BE</t>
        </is>
      </c>
      <c r="H755" s="20" t="inlineStr">
        <is>
          <t>A333</t>
        </is>
      </c>
      <c r="I755" s="22" t="n">
        <v>20</v>
      </c>
      <c r="J755" s="21" t="inlineStr">
        <is>
          <t>STD</t>
        </is>
      </c>
      <c r="K755" s="20" t="inlineStr">
        <is>
          <t>I64108758</t>
        </is>
      </c>
      <c r="L755" s="22" t="n">
        <v>15.1</v>
      </c>
      <c r="M755" s="20">
        <f>IFERROR(LEFT(B755,SEARCH("_Rev",B755)-1),B755)</f>
        <v/>
      </c>
      <c r="N755" s="20">
        <f>IF(B755="","",IF(ISNUMBER(C755),IF(COUNTIFS($M$3:$M$1026,M755,$C$3:$C$1026,"&gt;"&amp;C755)=0,"CURRENT","SUPERSEDED"),"CURRENT"))</f>
        <v/>
      </c>
      <c r="O755" s="19" t="n"/>
    </row>
    <row r="756">
      <c r="A756" s="19" t="n"/>
      <c r="B756" s="20" t="inlineStr">
        <is>
          <t>4503-XH-DL-4140-4142-2733-JS-01_Rev0</t>
        </is>
      </c>
      <c r="C756" s="21" t="n">
        <v>0</v>
      </c>
      <c r="D756" s="21" t="inlineStr">
        <is>
          <t>01.09.2026</t>
        </is>
      </c>
      <c r="E756" s="20" t="n"/>
      <c r="F756" s="21" t="n">
        <v>4140</v>
      </c>
      <c r="G756" s="20" t="inlineStr">
        <is>
          <t>PIPE B36.10/36.19 A333 6-SMLS BE BE</t>
        </is>
      </c>
      <c r="H756" s="20" t="inlineStr">
        <is>
          <t>A333</t>
        </is>
      </c>
      <c r="I756" s="22" t="n">
        <v>16</v>
      </c>
      <c r="J756" s="21" t="inlineStr">
        <is>
          <t>STD</t>
        </is>
      </c>
      <c r="K756" s="20" t="inlineStr">
        <is>
          <t>I65585719</t>
        </is>
      </c>
      <c r="L756" s="22" t="n">
        <v>8.300000000000001</v>
      </c>
      <c r="M756" s="20">
        <f>IFERROR(LEFT(B756,SEARCH("_Rev",B756)-1),B756)</f>
        <v/>
      </c>
      <c r="N756" s="20">
        <f>IF(B756="","",IF(ISNUMBER(C756),IF(COUNTIFS($M$3:$M$1026,M756,$C$3:$C$1026,"&gt;"&amp;C756)=0,"CURRENT","SUPERSEDED"),"CURRENT"))</f>
        <v/>
      </c>
      <c r="O756" s="19" t="n"/>
    </row>
    <row r="757">
      <c r="A757" s="19" t="n"/>
      <c r="B757" s="20" t="inlineStr">
        <is>
          <t>4503-XH-DL-4140-4142-2734-JS-01_Rev0</t>
        </is>
      </c>
      <c r="C757" s="21" t="n">
        <v>0</v>
      </c>
      <c r="D757" s="21" t="inlineStr">
        <is>
          <t>01.09.2026</t>
        </is>
      </c>
      <c r="E757" s="20" t="n"/>
      <c r="F757" s="21" t="n">
        <v>4140</v>
      </c>
      <c r="G757" s="20" t="inlineStr">
        <is>
          <t>PIPE B36.10/36.19 A333 6-SMLS BE BE</t>
        </is>
      </c>
      <c r="H757" s="20" t="inlineStr">
        <is>
          <t>A333</t>
        </is>
      </c>
      <c r="I757" s="22" t="n">
        <v>16</v>
      </c>
      <c r="J757" s="21" t="inlineStr">
        <is>
          <t>STD</t>
        </is>
      </c>
      <c r="K757" s="20" t="inlineStr">
        <is>
          <t>I65585719</t>
        </is>
      </c>
      <c r="L757" s="22" t="n">
        <v>8.699999999999999</v>
      </c>
      <c r="M757" s="20">
        <f>IFERROR(LEFT(B757,SEARCH("_Rev",B757)-1),B757)</f>
        <v/>
      </c>
      <c r="N757" s="20">
        <f>IF(B757="","",IF(ISNUMBER(C757),IF(COUNTIFS($M$3:$M$1026,M757,$C$3:$C$1026,"&gt;"&amp;C757)=0,"CURRENT","SUPERSEDED"),"CURRENT"))</f>
        <v/>
      </c>
      <c r="O757" s="19" t="n"/>
    </row>
    <row r="758">
      <c r="A758" s="19" t="n"/>
      <c r="B758" s="20" t="inlineStr">
        <is>
          <t>4503-XH-DL-4140-4142-2739-JS-01_Rev0</t>
        </is>
      </c>
      <c r="C758" s="21" t="n">
        <v>0</v>
      </c>
      <c r="D758" s="21" t="inlineStr">
        <is>
          <t>01.09.2026</t>
        </is>
      </c>
      <c r="E758" s="20" t="n"/>
      <c r="F758" s="21" t="n">
        <v>4140</v>
      </c>
      <c r="G758" s="20" t="inlineStr">
        <is>
          <t>PIPE B36.10/36.19 A333 6-SMLS BE BE</t>
        </is>
      </c>
      <c r="H758" s="20" t="inlineStr">
        <is>
          <t>A333</t>
        </is>
      </c>
      <c r="I758" s="22" t="n">
        <v>20</v>
      </c>
      <c r="J758" s="21" t="inlineStr">
        <is>
          <t>STD</t>
        </is>
      </c>
      <c r="K758" s="20" t="inlineStr">
        <is>
          <t>I64108758</t>
        </is>
      </c>
      <c r="L758" s="22" t="n">
        <v>17.7</v>
      </c>
      <c r="M758" s="20">
        <f>IFERROR(LEFT(B758,SEARCH("_Rev",B758)-1),B758)</f>
        <v/>
      </c>
      <c r="N758" s="20">
        <f>IF(B758="","",IF(ISNUMBER(C758),IF(COUNTIFS($M$3:$M$1026,M758,$C$3:$C$1026,"&gt;"&amp;C758)=0,"CURRENT","SUPERSEDED"),"CURRENT"))</f>
        <v/>
      </c>
      <c r="O758" s="19" t="n"/>
    </row>
    <row r="759">
      <c r="A759" s="19" t="n"/>
      <c r="B759" s="20" t="inlineStr">
        <is>
          <t>4503-XH-DL-4140-4142-2740-JS-01_Rev0</t>
        </is>
      </c>
      <c r="C759" s="21" t="n">
        <v>0</v>
      </c>
      <c r="D759" s="21" t="inlineStr">
        <is>
          <t>01.09.2026</t>
        </is>
      </c>
      <c r="E759" s="20" t="n"/>
      <c r="F759" s="21" t="n">
        <v>4140</v>
      </c>
      <c r="G759" s="20" t="inlineStr">
        <is>
          <t>PIPE B36.10/36.19 A333 6-SMLS BE BE</t>
        </is>
      </c>
      <c r="H759" s="20" t="inlineStr">
        <is>
          <t>A333</t>
        </is>
      </c>
      <c r="I759" s="22" t="n">
        <v>20</v>
      </c>
      <c r="J759" s="21" t="inlineStr">
        <is>
          <t>STD</t>
        </is>
      </c>
      <c r="K759" s="20" t="inlineStr">
        <is>
          <t>I64108758</t>
        </is>
      </c>
      <c r="L759" s="22" t="n">
        <v>12.8</v>
      </c>
      <c r="M759" s="20">
        <f>IFERROR(LEFT(B759,SEARCH("_Rev",B759)-1),B759)</f>
        <v/>
      </c>
      <c r="N759" s="20">
        <f>IF(B759="","",IF(ISNUMBER(C759),IF(COUNTIFS($M$3:$M$1026,M759,$C$3:$C$1026,"&gt;"&amp;C759)=0,"CURRENT","SUPERSEDED"),"CURRENT"))</f>
        <v/>
      </c>
      <c r="O759" s="19" t="n"/>
    </row>
    <row r="760">
      <c r="A760" s="19" t="n"/>
      <c r="B760" s="20" t="inlineStr">
        <is>
          <t>4503-XH-DL-4140-4143-3202-P-01_Rev0</t>
        </is>
      </c>
      <c r="C760" s="21" t="n">
        <v>0</v>
      </c>
      <c r="D760" s="21" t="inlineStr">
        <is>
          <t>01.09.2026</t>
        </is>
      </c>
      <c r="E760" s="20" t="inlineStr">
        <is>
          <t>IFC-ISSUED FOR CONSTRUCTION</t>
        </is>
      </c>
      <c r="F760" s="21" t="n">
        <v>4140</v>
      </c>
      <c r="G760" s="20" t="inlineStr">
        <is>
          <t>PIPE B36.10/36.19 A333 6-SMLS BE BE</t>
        </is>
      </c>
      <c r="H760" s="20" t="inlineStr">
        <is>
          <t>A333</t>
        </is>
      </c>
      <c r="I760" s="22" t="n">
        <v>14</v>
      </c>
      <c r="J760" s="21" t="inlineStr">
        <is>
          <t>STD</t>
        </is>
      </c>
      <c r="K760" s="20" t="inlineStr">
        <is>
          <t>I63649172</t>
        </is>
      </c>
      <c r="L760" s="22" t="n">
        <v>32.9</v>
      </c>
      <c r="M760" s="20">
        <f>IFERROR(LEFT(B760,SEARCH("_Rev",B760)-1),B760)</f>
        <v/>
      </c>
      <c r="N760" s="20">
        <f>IF(B760="","",IF(ISNUMBER(C760),IF(COUNTIFS($M$3:$M$1026,M760,$C$3:$C$1026,"&gt;"&amp;C760)=0,"CURRENT","SUPERSEDED"),"CURRENT"))</f>
        <v/>
      </c>
      <c r="O760" s="19" t="n"/>
    </row>
    <row r="761">
      <c r="A761" s="19" t="n"/>
      <c r="B761" s="20" t="inlineStr">
        <is>
          <t>4503-XH-DL-4140-4143-3202-P-02_Rev0</t>
        </is>
      </c>
      <c r="C761" s="21" t="n">
        <v>0</v>
      </c>
      <c r="D761" s="21" t="inlineStr">
        <is>
          <t>01.09.2026</t>
        </is>
      </c>
      <c r="E761" s="20" t="inlineStr">
        <is>
          <t>IFC-ISSUED FOR CONSTRUCTION</t>
        </is>
      </c>
      <c r="F761" s="21" t="n">
        <v>4140</v>
      </c>
      <c r="G761" s="20" t="inlineStr">
        <is>
          <t>PIPE B36.10/36.19 A333 6-SMLS BE BE</t>
        </is>
      </c>
      <c r="H761" s="20" t="inlineStr">
        <is>
          <t>A333</t>
        </is>
      </c>
      <c r="I761" s="22" t="n">
        <v>14</v>
      </c>
      <c r="J761" s="21" t="inlineStr">
        <is>
          <t>STD</t>
        </is>
      </c>
      <c r="K761" s="20" t="inlineStr">
        <is>
          <t>I63649172</t>
        </is>
      </c>
      <c r="L761" s="22" t="n">
        <v>17.5</v>
      </c>
      <c r="M761" s="20">
        <f>IFERROR(LEFT(B761,SEARCH("_Rev",B761)-1),B761)</f>
        <v/>
      </c>
      <c r="N761" s="20">
        <f>IF(B761="","",IF(ISNUMBER(C761),IF(COUNTIFS($M$3:$M$1026,M761,$C$3:$C$1026,"&gt;"&amp;C761)=0,"CURRENT","SUPERSEDED"),"CURRENT"))</f>
        <v/>
      </c>
      <c r="O761" s="19" t="n"/>
    </row>
    <row r="762">
      <c r="A762" s="19" t="n"/>
      <c r="B762" s="20" t="inlineStr">
        <is>
          <t>4503-XH-DL-4140-4143-3203-P-01_Rev0</t>
        </is>
      </c>
      <c r="C762" s="21" t="n">
        <v>0</v>
      </c>
      <c r="D762" s="21" t="inlineStr">
        <is>
          <t>01.09.2026</t>
        </is>
      </c>
      <c r="E762" s="20" t="inlineStr">
        <is>
          <t>IFC-ISSUED FOR CONSTRUCTION</t>
        </is>
      </c>
      <c r="F762" s="21" t="n">
        <v>4140</v>
      </c>
      <c r="G762" s="20" t="inlineStr">
        <is>
          <t>PIPE B36.10/36.19 A333 6-SMLS BE BE</t>
        </is>
      </c>
      <c r="H762" s="20" t="inlineStr">
        <is>
          <t>A333</t>
        </is>
      </c>
      <c r="I762" s="22" t="n">
        <v>14</v>
      </c>
      <c r="J762" s="21" t="inlineStr">
        <is>
          <t>STD</t>
        </is>
      </c>
      <c r="K762" s="20" t="inlineStr">
        <is>
          <t>I63649172</t>
        </is>
      </c>
      <c r="L762" s="22" t="n">
        <v>1.1</v>
      </c>
      <c r="M762" s="20">
        <f>IFERROR(LEFT(B762,SEARCH("_Rev",B762)-1),B762)</f>
        <v/>
      </c>
      <c r="N762" s="20">
        <f>IF(B762="","",IF(ISNUMBER(C762),IF(COUNTIFS($M$3:$M$1026,M762,$C$3:$C$1026,"&gt;"&amp;C762)=0,"CURRENT","SUPERSEDED"),"CURRENT"))</f>
        <v/>
      </c>
      <c r="O762" s="19" t="n"/>
    </row>
    <row r="763">
      <c r="A763" s="19" t="n"/>
      <c r="B763" s="20" t="inlineStr">
        <is>
          <t>4503-XH-DL-4140-4143-3204-P-01_Rev0</t>
        </is>
      </c>
      <c r="C763" s="21" t="n">
        <v>0</v>
      </c>
      <c r="D763" s="21" t="inlineStr">
        <is>
          <t>01.09.2026</t>
        </is>
      </c>
      <c r="E763" s="20" t="n"/>
      <c r="F763" s="21" t="n">
        <v>4140</v>
      </c>
      <c r="G763" s="20" t="inlineStr">
        <is>
          <t>PIPE B36.10/36.19 A333 6-SMLS BE BE</t>
        </is>
      </c>
      <c r="H763" s="20" t="inlineStr">
        <is>
          <t>A333</t>
        </is>
      </c>
      <c r="I763" s="22" t="n">
        <v>14</v>
      </c>
      <c r="J763" s="21" t="inlineStr">
        <is>
          <t>STD</t>
        </is>
      </c>
      <c r="K763" s="20" t="inlineStr">
        <is>
          <t>I63649172</t>
        </is>
      </c>
      <c r="L763" s="22" t="n">
        <v>1.6</v>
      </c>
      <c r="M763" s="20">
        <f>IFERROR(LEFT(B763,SEARCH("_Rev",B763)-1),B763)</f>
        <v/>
      </c>
      <c r="N763" s="20">
        <f>IF(B763="","",IF(ISNUMBER(C763),IF(COUNTIFS($M$3:$M$1026,M763,$C$3:$C$1026,"&gt;"&amp;C763)=0,"CURRENT","SUPERSEDED"),"CURRENT"))</f>
        <v/>
      </c>
      <c r="O763" s="19" t="n"/>
    </row>
    <row r="764">
      <c r="A764" s="19" t="n"/>
      <c r="B764" s="20" t="inlineStr">
        <is>
          <t>4503-XH-DL-4140-4143-3212-P-01_Rev0</t>
        </is>
      </c>
      <c r="C764" s="21" t="n">
        <v>0</v>
      </c>
      <c r="D764" s="21" t="inlineStr">
        <is>
          <t>01.09.2026</t>
        </is>
      </c>
      <c r="E764" s="20" t="n"/>
      <c r="F764" s="21" t="n">
        <v>4140</v>
      </c>
      <c r="G764" s="20" t="inlineStr">
        <is>
          <t>PIPE B36.10/36.19 A333 6-SMLS BE BE</t>
        </is>
      </c>
      <c r="H764" s="20" t="inlineStr">
        <is>
          <t>A333</t>
        </is>
      </c>
      <c r="I764" s="22" t="n">
        <v>14</v>
      </c>
      <c r="J764" s="21" t="inlineStr">
        <is>
          <t>STD</t>
        </is>
      </c>
      <c r="K764" s="20" t="inlineStr">
        <is>
          <t>I63649172</t>
        </is>
      </c>
      <c r="L764" s="22" t="n">
        <v>1.5</v>
      </c>
      <c r="M764" s="20">
        <f>IFERROR(LEFT(B764,SEARCH("_Rev",B764)-1),B764)</f>
        <v/>
      </c>
      <c r="N764" s="20">
        <f>IF(B764="","",IF(ISNUMBER(C764),IF(COUNTIFS($M$3:$M$1026,M764,$C$3:$C$1026,"&gt;"&amp;C764)=0,"CURRENT","SUPERSEDED"),"CURRENT"))</f>
        <v/>
      </c>
      <c r="O764" s="19" t="n"/>
    </row>
    <row r="765">
      <c r="A765" s="19" t="n"/>
      <c r="B765" s="20" t="inlineStr">
        <is>
          <t>4503-XH-DL-4140-4671-0506-FL-01_Rev0</t>
        </is>
      </c>
      <c r="C765" s="21" t="n">
        <v>0</v>
      </c>
      <c r="D765" s="21" t="inlineStr">
        <is>
          <t>01.09.2026</t>
        </is>
      </c>
      <c r="E765" s="20" t="n"/>
      <c r="F765" s="21" t="n">
        <v>4140</v>
      </c>
      <c r="G765" s="20" t="inlineStr">
        <is>
          <t>PIPE B36.10/36.19 A333 6-SMLS BE BE</t>
        </is>
      </c>
      <c r="H765" s="20" t="inlineStr">
        <is>
          <t>A333</t>
        </is>
      </c>
      <c r="I765" s="22" t="n">
        <v>16</v>
      </c>
      <c r="J765" s="21" t="inlineStr">
        <is>
          <t>STD</t>
        </is>
      </c>
      <c r="K765" s="20" t="inlineStr">
        <is>
          <t>I65585719</t>
        </is>
      </c>
      <c r="L765" s="22" t="n">
        <v>19.5</v>
      </c>
      <c r="M765" s="20">
        <f>IFERROR(LEFT(B765,SEARCH("_Rev",B765)-1),B765)</f>
        <v/>
      </c>
      <c r="N765" s="20">
        <f>IF(B765="","",IF(ISNUMBER(C765),IF(COUNTIFS($M$3:$M$1026,M765,$C$3:$C$1026,"&gt;"&amp;C765)=0,"CURRENT","SUPERSEDED"),"CURRENT"))</f>
        <v/>
      </c>
      <c r="O765" s="19" t="n"/>
    </row>
    <row r="766">
      <c r="A766" s="19" t="n"/>
      <c r="B766" s="20" t="inlineStr">
        <is>
          <t>4503-XH-DL-4140-4671-0506-FL-02_Rev0</t>
        </is>
      </c>
      <c r="C766" s="21" t="n">
        <v>0</v>
      </c>
      <c r="D766" s="21" t="inlineStr">
        <is>
          <t>01.09.2026</t>
        </is>
      </c>
      <c r="E766" s="20" t="n"/>
      <c r="F766" s="21" t="n">
        <v>4140</v>
      </c>
      <c r="G766" s="20" t="inlineStr">
        <is>
          <t>PIPE B36.10/36.19 A333 6-SMLS BE BE</t>
        </is>
      </c>
      <c r="H766" s="20" t="inlineStr">
        <is>
          <t>A333</t>
        </is>
      </c>
      <c r="I766" s="22" t="n">
        <v>16</v>
      </c>
      <c r="J766" s="21" t="inlineStr">
        <is>
          <t>STD</t>
        </is>
      </c>
      <c r="K766" s="20" t="inlineStr">
        <is>
          <t>I65585719</t>
        </is>
      </c>
      <c r="L766" s="22" t="n">
        <v>3</v>
      </c>
      <c r="M766" s="20">
        <f>IFERROR(LEFT(B766,SEARCH("_Rev",B766)-1),B766)</f>
        <v/>
      </c>
      <c r="N766" s="20">
        <f>IF(B766="","",IF(ISNUMBER(C766),IF(COUNTIFS($M$3:$M$1026,M766,$C$3:$C$1026,"&gt;"&amp;C766)=0,"CURRENT","SUPERSEDED"),"CURRENT"))</f>
        <v/>
      </c>
      <c r="O766" s="19" t="n"/>
    </row>
    <row r="767">
      <c r="A767" s="19" t="n"/>
      <c r="B767" s="20" t="inlineStr">
        <is>
          <t>4503-XH-DL-4140-4671-0506-FL-02_Rev0</t>
        </is>
      </c>
      <c r="C767" s="21" t="n">
        <v>0</v>
      </c>
      <c r="D767" s="21" t="inlineStr">
        <is>
          <t>01.09.2026</t>
        </is>
      </c>
      <c r="E767" s="20" t="n"/>
      <c r="F767" s="21" t="n">
        <v>4140</v>
      </c>
      <c r="G767" s="20" t="inlineStr">
        <is>
          <t>PIPE B36.10/36.19 A333 6-SMLS BE BE</t>
        </is>
      </c>
      <c r="H767" s="20" t="inlineStr">
        <is>
          <t>A333</t>
        </is>
      </c>
      <c r="I767" s="22" t="n">
        <v>14</v>
      </c>
      <c r="J767" s="21" t="inlineStr">
        <is>
          <t>STD</t>
        </is>
      </c>
      <c r="K767" s="20" t="inlineStr">
        <is>
          <t>I63649172</t>
        </is>
      </c>
      <c r="L767" s="22" t="n">
        <v>17.1</v>
      </c>
      <c r="M767" s="20">
        <f>IFERROR(LEFT(B767,SEARCH("_Rev",B767)-1),B767)</f>
        <v/>
      </c>
      <c r="N767" s="20">
        <f>IF(B767="","",IF(ISNUMBER(C767),IF(COUNTIFS($M$3:$M$1026,M767,$C$3:$C$1026,"&gt;"&amp;C767)=0,"CURRENT","SUPERSEDED"),"CURRENT"))</f>
        <v/>
      </c>
      <c r="O767" s="19" t="n"/>
    </row>
    <row r="768">
      <c r="A768" s="19" t="n"/>
      <c r="B768" s="20" t="inlineStr">
        <is>
          <t>4503-XH-DL-4140-4671-0508-FL-01_Rev0</t>
        </is>
      </c>
      <c r="C768" s="21" t="n">
        <v>0</v>
      </c>
      <c r="D768" s="21" t="inlineStr">
        <is>
          <t>01.09.2026</t>
        </is>
      </c>
      <c r="E768" s="20" t="n"/>
      <c r="F768" s="21" t="n">
        <v>4140</v>
      </c>
      <c r="G768" s="20" t="inlineStr">
        <is>
          <t>PIPE B36.10/36.19 A333 6-SMLS BE BE</t>
        </is>
      </c>
      <c r="H768" s="20" t="inlineStr">
        <is>
          <t>A333</t>
        </is>
      </c>
      <c r="I768" s="22" t="n">
        <v>14</v>
      </c>
      <c r="J768" s="21" t="inlineStr">
        <is>
          <t>STD</t>
        </is>
      </c>
      <c r="K768" s="20" t="inlineStr">
        <is>
          <t>I63649172</t>
        </is>
      </c>
      <c r="L768" s="22" t="n">
        <v>4.3</v>
      </c>
      <c r="M768" s="20">
        <f>IFERROR(LEFT(B768,SEARCH("_Rev",B768)-1),B768)</f>
        <v/>
      </c>
      <c r="N768" s="20">
        <f>IF(B768="","",IF(ISNUMBER(C768),IF(COUNTIFS($M$3:$M$1026,M768,$C$3:$C$1026,"&gt;"&amp;C768)=0,"CURRENT","SUPERSEDED"),"CURRENT"))</f>
        <v/>
      </c>
      <c r="O768" s="19" t="n"/>
    </row>
    <row r="769">
      <c r="A769" s="19" t="n"/>
      <c r="B769" s="20" t="inlineStr">
        <is>
          <t>4503-XH-DL-4140-4671-0508-FL-01_Rev0</t>
        </is>
      </c>
      <c r="C769" s="21" t="n">
        <v>0</v>
      </c>
      <c r="D769" s="21" t="inlineStr">
        <is>
          <t>01.09.2026</t>
        </is>
      </c>
      <c r="E769" s="20" t="n"/>
      <c r="F769" s="21" t="n">
        <v>4140</v>
      </c>
      <c r="G769" s="20" t="inlineStr">
        <is>
          <t>PIPE B36.10/36.19 A333 6-SMLS BE BE</t>
        </is>
      </c>
      <c r="H769" s="20" t="inlineStr">
        <is>
          <t>A333</t>
        </is>
      </c>
      <c r="I769" s="22" t="n">
        <v>2</v>
      </c>
      <c r="J769" s="21" t="inlineStr">
        <is>
          <t>XS</t>
        </is>
      </c>
      <c r="K769" s="20" t="inlineStr">
        <is>
          <t>I64108762</t>
        </is>
      </c>
      <c r="L769" s="22" t="n">
        <v>0.7</v>
      </c>
      <c r="M769" s="20">
        <f>IFERROR(LEFT(B769,SEARCH("_Rev",B769)-1),B769)</f>
        <v/>
      </c>
      <c r="N769" s="20">
        <f>IF(B769="","",IF(ISNUMBER(C769),IF(COUNTIFS($M$3:$M$1026,M769,$C$3:$C$1026,"&gt;"&amp;C769)=0,"CURRENT","SUPERSEDED"),"CURRENT"))</f>
        <v/>
      </c>
      <c r="O769" s="19" t="n"/>
    </row>
    <row r="770">
      <c r="A770" s="19" t="n"/>
      <c r="B770" s="20" t="inlineStr">
        <is>
          <t>4503-XH-DL-4140-4671-5077-FL-01_Rev0</t>
        </is>
      </c>
      <c r="C770" s="21" t="n">
        <v>0</v>
      </c>
      <c r="D770" s="21" t="inlineStr">
        <is>
          <t>01.09.2026</t>
        </is>
      </c>
      <c r="E770" s="20" t="n"/>
      <c r="F770" s="21" t="n">
        <v>4140</v>
      </c>
      <c r="G770" s="20" t="inlineStr">
        <is>
          <t>PIPE B36.10/36.19 A333 6-SMLS BE BE</t>
        </is>
      </c>
      <c r="H770" s="20" t="inlineStr">
        <is>
          <t>A333</t>
        </is>
      </c>
      <c r="I770" s="22" t="n">
        <v>14</v>
      </c>
      <c r="J770" s="21" t="inlineStr">
        <is>
          <t>STD</t>
        </is>
      </c>
      <c r="K770" s="20" t="inlineStr">
        <is>
          <t>I63649172</t>
        </is>
      </c>
      <c r="L770" s="22" t="n">
        <v>1.3</v>
      </c>
      <c r="M770" s="20">
        <f>IFERROR(LEFT(B770,SEARCH("_Rev",B770)-1),B770)</f>
        <v/>
      </c>
      <c r="N770" s="20">
        <f>IF(B770="","",IF(ISNUMBER(C770),IF(COUNTIFS($M$3:$M$1026,M770,$C$3:$C$1026,"&gt;"&amp;C770)=0,"CURRENT","SUPERSEDED"),"CURRENT"))</f>
        <v/>
      </c>
      <c r="O770" s="19" t="n"/>
    </row>
    <row r="771">
      <c r="A771" s="19" t="n"/>
      <c r="B771" s="20" t="inlineStr">
        <is>
          <t>4503-XH-DL-4140-4671-5077-FL-02_Rev0</t>
        </is>
      </c>
      <c r="C771" s="21" t="n">
        <v>0</v>
      </c>
      <c r="D771" s="21" t="inlineStr">
        <is>
          <t>01.09.2026</t>
        </is>
      </c>
      <c r="E771" s="20" t="n"/>
      <c r="F771" s="21" t="n">
        <v>4140</v>
      </c>
      <c r="G771" s="20" t="inlineStr">
        <is>
          <t>PIPE B36.10/36.19 A333 6-SMLS BE BE</t>
        </is>
      </c>
      <c r="H771" s="20" t="inlineStr">
        <is>
          <t>A333</t>
        </is>
      </c>
      <c r="I771" s="22" t="n">
        <v>14</v>
      </c>
      <c r="J771" s="21" t="inlineStr">
        <is>
          <t>STD</t>
        </is>
      </c>
      <c r="K771" s="20" t="inlineStr">
        <is>
          <t>I63649172</t>
        </is>
      </c>
      <c r="L771" s="22" t="n">
        <v>6.9</v>
      </c>
      <c r="M771" s="20">
        <f>IFERROR(LEFT(B771,SEARCH("_Rev",B771)-1),B771)</f>
        <v/>
      </c>
      <c r="N771" s="20">
        <f>IF(B771="","",IF(ISNUMBER(C771),IF(COUNTIFS($M$3:$M$1026,M771,$C$3:$C$1026,"&gt;"&amp;C771)=0,"CURRENT","SUPERSEDED"),"CURRENT"))</f>
        <v/>
      </c>
      <c r="O771" s="19" t="n"/>
    </row>
    <row r="772">
      <c r="A772" s="19" t="n"/>
      <c r="B772" s="20" t="inlineStr">
        <is>
          <t>4503-XH-DL-6190-5120-0702-BU-01_Rev0</t>
        </is>
      </c>
      <c r="C772" s="21" t="n">
        <v>0</v>
      </c>
      <c r="D772" s="21" t="inlineStr">
        <is>
          <t>13.08.2026</t>
        </is>
      </c>
      <c r="E772" s="20" t="inlineStr">
        <is>
          <t>IFC - ISSUED FOR CONSTRUCTION</t>
        </is>
      </c>
      <c r="F772" s="21" t="n">
        <v>6190</v>
      </c>
      <c r="G772" s="20" t="inlineStr">
        <is>
          <t>PIPE B36.10/36.19 A333 6-SMLS BE BE</t>
        </is>
      </c>
      <c r="H772" s="20" t="inlineStr">
        <is>
          <t>A333</t>
        </is>
      </c>
      <c r="I772" s="22" t="n">
        <v>3</v>
      </c>
      <c r="J772" s="21" t="inlineStr">
        <is>
          <t>STD</t>
        </is>
      </c>
      <c r="K772" s="20" t="inlineStr">
        <is>
          <t>I63649171</t>
        </is>
      </c>
      <c r="L772" s="22" t="n">
        <v>43.2</v>
      </c>
      <c r="M772" s="20">
        <f>IFERROR(LEFT(B772,SEARCH("_Rev",B772)-1),B772)</f>
        <v/>
      </c>
      <c r="N772" s="20">
        <f>IF(B772="","",IF(ISNUMBER(C772),IF(COUNTIFS($M$3:$M$1026,M772,$C$3:$C$1026,"&gt;"&amp;C772)=0,"CURRENT","SUPERSEDED"),"CURRENT"))</f>
        <v/>
      </c>
      <c r="O772" s="19" t="n"/>
    </row>
    <row r="773">
      <c r="A773" s="19" t="n"/>
      <c r="B773" s="20" t="inlineStr">
        <is>
          <t>4503-XH-DL-6190-5120-0702-BU-02_Rev0</t>
        </is>
      </c>
      <c r="C773" s="21" t="n">
        <v>0</v>
      </c>
      <c r="D773" s="21" t="inlineStr">
        <is>
          <t>13.08.2026</t>
        </is>
      </c>
      <c r="E773" s="20" t="inlineStr">
        <is>
          <t>IFC - ISSUED FOR CONSTRUCTION</t>
        </is>
      </c>
      <c r="F773" s="21" t="n">
        <v>6190</v>
      </c>
      <c r="G773" s="20" t="inlineStr">
        <is>
          <t>PIPE B36.10/36.19 A333 6-SMLS BE BE</t>
        </is>
      </c>
      <c r="H773" s="20" t="inlineStr">
        <is>
          <t>A333</t>
        </is>
      </c>
      <c r="I773" s="22" t="n">
        <v>3</v>
      </c>
      <c r="J773" s="21" t="inlineStr">
        <is>
          <t>STD</t>
        </is>
      </c>
      <c r="K773" s="20" t="inlineStr">
        <is>
          <t>I63649171</t>
        </is>
      </c>
      <c r="L773" s="22" t="n">
        <v>19.5</v>
      </c>
      <c r="M773" s="20">
        <f>IFERROR(LEFT(B773,SEARCH("_Rev",B773)-1),B773)</f>
        <v/>
      </c>
      <c r="N773" s="20">
        <f>IF(B773="","",IF(ISNUMBER(C773),IF(COUNTIFS($M$3:$M$1026,M773,$C$3:$C$1026,"&gt;"&amp;C773)=0,"CURRENT","SUPERSEDED"),"CURRENT"))</f>
        <v/>
      </c>
      <c r="O773" s="19" t="n"/>
    </row>
    <row r="774">
      <c r="A774" s="19" t="n"/>
      <c r="B774" s="20" t="inlineStr">
        <is>
          <t>4503-XH-DL-6190-5120-0702-BU-05_Rev0</t>
        </is>
      </c>
      <c r="C774" s="21" t="n">
        <v>0</v>
      </c>
      <c r="D774" s="21" t="inlineStr">
        <is>
          <t>13.08.2026</t>
        </is>
      </c>
      <c r="E774" s="20" t="inlineStr">
        <is>
          <t>IFC - ISSUED FOR CONSTRUCTION</t>
        </is>
      </c>
      <c r="F774" s="21" t="n">
        <v>6190</v>
      </c>
      <c r="G774" s="20" t="inlineStr">
        <is>
          <t>PIPE B36.10/36.19 A333 6-SMLS BE BE</t>
        </is>
      </c>
      <c r="H774" s="20" t="inlineStr">
        <is>
          <t>A333</t>
        </is>
      </c>
      <c r="I774" s="22" t="n">
        <v>3</v>
      </c>
      <c r="J774" s="21" t="inlineStr">
        <is>
          <t>STD</t>
        </is>
      </c>
      <c r="K774" s="20" t="inlineStr">
        <is>
          <t>I63649171</t>
        </is>
      </c>
      <c r="L774" s="22" t="n">
        <v>1.3</v>
      </c>
      <c r="M774" s="20">
        <f>IFERROR(LEFT(B774,SEARCH("_Rev",B774)-1),B774)</f>
        <v/>
      </c>
      <c r="N774" s="20">
        <f>IF(B774="","",IF(ISNUMBER(C774),IF(COUNTIFS($M$3:$M$1026,M774,$C$3:$C$1026,"&gt;"&amp;C774)=0,"CURRENT","SUPERSEDED"),"CURRENT"))</f>
        <v/>
      </c>
      <c r="O774" s="19" t="n"/>
    </row>
    <row r="775">
      <c r="A775" s="19" t="n"/>
      <c r="B775" s="20" t="inlineStr">
        <is>
          <t>4503-XH-DL-6190-5199-0802-BU-01_Rev0</t>
        </is>
      </c>
      <c r="C775" s="21" t="n">
        <v>0</v>
      </c>
      <c r="D775" s="21" t="inlineStr">
        <is>
          <t>13.08.2026</t>
        </is>
      </c>
      <c r="E775" s="20" t="inlineStr">
        <is>
          <t>IFC - ISSUED FOR CONSTRUCTION</t>
        </is>
      </c>
      <c r="F775" s="21" t="n">
        <v>6190</v>
      </c>
      <c r="G775" s="20" t="inlineStr">
        <is>
          <t>PIPE B36.10/36.19 A333 6-SMLS BE BE</t>
        </is>
      </c>
      <c r="H775" s="20" t="inlineStr">
        <is>
          <t>A333</t>
        </is>
      </c>
      <c r="I775" s="22" t="n">
        <v>2</v>
      </c>
      <c r="J775" s="21" t="inlineStr">
        <is>
          <t>XS</t>
        </is>
      </c>
      <c r="K775" s="20" t="inlineStr">
        <is>
          <t>I64108762</t>
        </is>
      </c>
      <c r="L775" s="22" t="n">
        <v>0.6</v>
      </c>
      <c r="M775" s="20">
        <f>IFERROR(LEFT(B775,SEARCH("_Rev",B775)-1),B775)</f>
        <v/>
      </c>
      <c r="N775" s="20">
        <f>IF(B775="","",IF(ISNUMBER(C775),IF(COUNTIFS($M$3:$M$1026,M775,$C$3:$C$1026,"&gt;"&amp;C775)=0,"CURRENT","SUPERSEDED"),"CURRENT"))</f>
        <v/>
      </c>
      <c r="O775" s="19" t="n"/>
    </row>
    <row r="776">
      <c r="A776" s="19" t="n"/>
      <c r="B776" s="20" t="inlineStr">
        <is>
          <t>4503-XH-DL-6190-5199-0802-BU-04_Rev0</t>
        </is>
      </c>
      <c r="C776" s="21" t="n">
        <v>0</v>
      </c>
      <c r="D776" s="21" t="inlineStr">
        <is>
          <t>13.08.2026</t>
        </is>
      </c>
      <c r="E776" s="20" t="inlineStr">
        <is>
          <t>IFC - ISSUED FOR CONSTRUCTION</t>
        </is>
      </c>
      <c r="F776" s="21" t="n">
        <v>6190</v>
      </c>
      <c r="G776" s="20" t="inlineStr">
        <is>
          <t>PIPE B36.10/36.19 A333 6-SMLS BE BE</t>
        </is>
      </c>
      <c r="H776" s="20" t="inlineStr">
        <is>
          <t>A333</t>
        </is>
      </c>
      <c r="I776" s="22" t="n">
        <v>2</v>
      </c>
      <c r="J776" s="21" t="inlineStr">
        <is>
          <t>XS</t>
        </is>
      </c>
      <c r="K776" s="20" t="inlineStr">
        <is>
          <t>I64108762</t>
        </is>
      </c>
      <c r="L776" s="22" t="n">
        <v>41.2</v>
      </c>
      <c r="M776" s="20">
        <f>IFERROR(LEFT(B776,SEARCH("_Rev",B776)-1),B776)</f>
        <v/>
      </c>
      <c r="N776" s="20">
        <f>IF(B776="","",IF(ISNUMBER(C776),IF(COUNTIFS($M$3:$M$1026,M776,$C$3:$C$1026,"&gt;"&amp;C776)=0,"CURRENT","SUPERSEDED"),"CURRENT"))</f>
        <v/>
      </c>
      <c r="O776" s="19" t="n"/>
    </row>
    <row r="777">
      <c r="A777" s="19" t="n"/>
      <c r="B777" s="20" t="inlineStr">
        <is>
          <t>4503-XH-DL-6190-5199-0802-BU-05_Rev0</t>
        </is>
      </c>
      <c r="C777" s="21" t="n">
        <v>0</v>
      </c>
      <c r="D777" s="21" t="inlineStr">
        <is>
          <t>13.08.2026</t>
        </is>
      </c>
      <c r="E777" s="20" t="inlineStr">
        <is>
          <t>IFC - ISSUED FOR CONSTRUCTION</t>
        </is>
      </c>
      <c r="F777" s="21" t="n">
        <v>6190</v>
      </c>
      <c r="G777" s="20" t="inlineStr">
        <is>
          <t>PIPE B36.10/36.19 A333 6-SMLS BE BE</t>
        </is>
      </c>
      <c r="H777" s="20" t="inlineStr">
        <is>
          <t>A333</t>
        </is>
      </c>
      <c r="I777" s="22" t="n">
        <v>2</v>
      </c>
      <c r="J777" s="21" t="inlineStr">
        <is>
          <t>XS</t>
        </is>
      </c>
      <c r="K777" s="20" t="inlineStr">
        <is>
          <t>I64108762</t>
        </is>
      </c>
      <c r="L777" s="22" t="n">
        <v>20.3</v>
      </c>
      <c r="M777" s="20">
        <f>IFERROR(LEFT(B777,SEARCH("_Rev",B777)-1),B777)</f>
        <v/>
      </c>
      <c r="N777" s="20">
        <f>IF(B777="","",IF(ISNUMBER(C777),IF(COUNTIFS($M$3:$M$1026,M777,$C$3:$C$1026,"&gt;"&amp;C777)=0,"CURRENT","SUPERSEDED"),"CURRENT"))</f>
        <v/>
      </c>
      <c r="O777" s="19" t="n"/>
    </row>
    <row r="778">
      <c r="A778" s="19" t="n"/>
      <c r="B778" s="20" t="inlineStr">
        <is>
          <t>4503-XH-DL-6190-5199-2401-IPE-01_Rev0</t>
        </is>
      </c>
      <c r="C778" s="21" t="n">
        <v>0</v>
      </c>
      <c r="D778" s="21" t="inlineStr">
        <is>
          <t>13.08.2026</t>
        </is>
      </c>
      <c r="E778" s="20" t="inlineStr">
        <is>
          <t>IFC - ISSUED FOR CONSTRUCTION</t>
        </is>
      </c>
      <c r="F778" s="21" t="n">
        <v>6190</v>
      </c>
      <c r="G778" s="20" t="inlineStr">
        <is>
          <t>PIPE B36.10/36.19 A333 6-SMLS BE BE</t>
        </is>
      </c>
      <c r="H778" s="20" t="inlineStr">
        <is>
          <t>A333</t>
        </is>
      </c>
      <c r="I778" s="22" t="n">
        <v>3</v>
      </c>
      <c r="J778" s="21" t="inlineStr">
        <is>
          <t>STD</t>
        </is>
      </c>
      <c r="K778" s="20" t="inlineStr">
        <is>
          <t>I63649171</t>
        </is>
      </c>
      <c r="L778" s="22" t="n">
        <v>1</v>
      </c>
      <c r="M778" s="20">
        <f>IFERROR(LEFT(B778,SEARCH("_Rev",B778)-1),B778)</f>
        <v/>
      </c>
      <c r="N778" s="20">
        <f>IF(B778="","",IF(ISNUMBER(C778),IF(COUNTIFS($M$3:$M$1026,M778,$C$3:$C$1026,"&gt;"&amp;C778)=0,"CURRENT","SUPERSEDED"),"CURRENT"))</f>
        <v/>
      </c>
      <c r="O778" s="19" t="n"/>
    </row>
    <row r="779">
      <c r="A779" s="19" t="n"/>
      <c r="B779" s="20" t="inlineStr">
        <is>
          <t>4503-XH-DL-6190-5199-2401-IPE-03_Rev0</t>
        </is>
      </c>
      <c r="C779" s="21" t="n">
        <v>0</v>
      </c>
      <c r="D779" s="21" t="inlineStr">
        <is>
          <t>13.08.2026</t>
        </is>
      </c>
      <c r="E779" s="20" t="inlineStr">
        <is>
          <t>IFC - ISSUED FOR CONSTRUCTION</t>
        </is>
      </c>
      <c r="F779" s="21" t="n">
        <v>6190</v>
      </c>
      <c r="G779" s="20" t="inlineStr">
        <is>
          <t>PIPE B36.10/36.19 A333 6-SMLS BE BE</t>
        </is>
      </c>
      <c r="H779" s="20" t="inlineStr">
        <is>
          <t>A333</t>
        </is>
      </c>
      <c r="I779" s="22" t="n">
        <v>3</v>
      </c>
      <c r="J779" s="21" t="inlineStr">
        <is>
          <t>STD</t>
        </is>
      </c>
      <c r="K779" s="20" t="inlineStr">
        <is>
          <t>I63649171</t>
        </is>
      </c>
      <c r="L779" s="22" t="n">
        <v>27.2</v>
      </c>
      <c r="M779" s="20">
        <f>IFERROR(LEFT(B779,SEARCH("_Rev",B779)-1),B779)</f>
        <v/>
      </c>
      <c r="N779" s="20">
        <f>IF(B779="","",IF(ISNUMBER(C779),IF(COUNTIFS($M$3:$M$1026,M779,$C$3:$C$1026,"&gt;"&amp;C779)=0,"CURRENT","SUPERSEDED"),"CURRENT"))</f>
        <v/>
      </c>
      <c r="O779" s="19" t="n"/>
    </row>
    <row r="780">
      <c r="A780" s="19" t="n"/>
      <c r="B780" s="20" t="inlineStr">
        <is>
          <t>4503-XH-DL-6190-5199-2401-IPE-04_Rev0</t>
        </is>
      </c>
      <c r="C780" s="21" t="n">
        <v>0</v>
      </c>
      <c r="D780" s="21" t="inlineStr">
        <is>
          <t>13.08.2026</t>
        </is>
      </c>
      <c r="E780" s="20" t="inlineStr">
        <is>
          <t>IFC - ISSUED FOR CONSTRUCTION</t>
        </is>
      </c>
      <c r="F780" s="21" t="n">
        <v>6190</v>
      </c>
      <c r="G780" s="20" t="inlineStr">
        <is>
          <t>PIPE B36.10/36.19 A333 6-SMLS BE BE</t>
        </is>
      </c>
      <c r="H780" s="20" t="inlineStr">
        <is>
          <t>A333</t>
        </is>
      </c>
      <c r="I780" s="22" t="n">
        <v>3</v>
      </c>
      <c r="J780" s="21" t="inlineStr">
        <is>
          <t>STD</t>
        </is>
      </c>
      <c r="K780" s="20" t="inlineStr">
        <is>
          <t>I63649171</t>
        </is>
      </c>
      <c r="L780" s="22" t="n">
        <v>46.2</v>
      </c>
      <c r="M780" s="20">
        <f>IFERROR(LEFT(B780,SEARCH("_Rev",B780)-1),B780)</f>
        <v/>
      </c>
      <c r="N780" s="20">
        <f>IF(B780="","",IF(ISNUMBER(C780),IF(COUNTIFS($M$3:$M$1026,M780,$C$3:$C$1026,"&gt;"&amp;C780)=0,"CURRENT","SUPERSEDED"),"CURRENT"))</f>
        <v/>
      </c>
      <c r="O780" s="19" t="n"/>
    </row>
    <row r="781">
      <c r="A781" s="19" t="n"/>
      <c r="B781" s="20" t="inlineStr">
        <is>
          <t>4503-XH-DL-6190-5612-0001-SC-01_Rev0</t>
        </is>
      </c>
      <c r="C781" s="21" t="n">
        <v>0</v>
      </c>
      <c r="D781" s="21" t="inlineStr">
        <is>
          <t>13.08.2026</t>
        </is>
      </c>
      <c r="E781" s="20" t="inlineStr">
        <is>
          <t>IFC - ISSUED FOR CONSTRUCTION</t>
        </is>
      </c>
      <c r="F781" s="21" t="n">
        <v>6190</v>
      </c>
      <c r="G781" s="20" t="inlineStr">
        <is>
          <t>PIPE B36.10/36.19 A333 6-SMLS BE BE</t>
        </is>
      </c>
      <c r="H781" s="20" t="inlineStr">
        <is>
          <t>A333</t>
        </is>
      </c>
      <c r="I781" s="22" t="n">
        <v>2</v>
      </c>
      <c r="J781" s="21" t="inlineStr">
        <is>
          <t>XS</t>
        </is>
      </c>
      <c r="K781" s="20" t="inlineStr">
        <is>
          <t>I64108762</t>
        </is>
      </c>
      <c r="L781" s="22" t="n">
        <v>5.4</v>
      </c>
      <c r="M781" s="20">
        <f>IFERROR(LEFT(B781,SEARCH("_Rev",B781)-1),B781)</f>
        <v/>
      </c>
      <c r="N781" s="20">
        <f>IF(B781="","",IF(ISNUMBER(C781),IF(COUNTIFS($M$3:$M$1026,M781,$C$3:$C$1026,"&gt;"&amp;C781)=0,"CURRENT","SUPERSEDED"),"CURRENT"))</f>
        <v/>
      </c>
      <c r="O781" s="19" t="n"/>
    </row>
    <row r="782">
      <c r="A782" s="19" t="n"/>
      <c r="B782" s="20" t="inlineStr">
        <is>
          <t>4503-XH-DL-6190-5612-0001-SC-01_Rev0</t>
        </is>
      </c>
      <c r="C782" s="21" t="n">
        <v>0</v>
      </c>
      <c r="D782" s="21" t="inlineStr">
        <is>
          <t>13.08.2026</t>
        </is>
      </c>
      <c r="E782" s="20" t="inlineStr">
        <is>
          <t>IFC - ISSUED FOR CONSTRUCTION</t>
        </is>
      </c>
      <c r="F782" s="21" t="n">
        <v>6190</v>
      </c>
      <c r="G782" s="20" t="inlineStr">
        <is>
          <t>PIPE B36.10/36.19 A333 6-SMLS PE PE</t>
        </is>
      </c>
      <c r="H782" s="20" t="inlineStr">
        <is>
          <t>A333</t>
        </is>
      </c>
      <c r="I782" s="22" t="n">
        <v>1</v>
      </c>
      <c r="J782" s="21" t="inlineStr">
        <is>
          <t>XS</t>
        </is>
      </c>
      <c r="K782" s="20" t="inlineStr">
        <is>
          <t>I63649231</t>
        </is>
      </c>
      <c r="L782" s="22" t="n">
        <v>0.2</v>
      </c>
      <c r="M782" s="20">
        <f>IFERROR(LEFT(B782,SEARCH("_Rev",B782)-1),B782)</f>
        <v/>
      </c>
      <c r="N782" s="20">
        <f>IF(B782="","",IF(ISNUMBER(C782),IF(COUNTIFS($M$3:$M$1026,M782,$C$3:$C$1026,"&gt;"&amp;C782)=0,"CURRENT","SUPERSEDED"),"CURRENT"))</f>
        <v/>
      </c>
      <c r="O782" s="19" t="n"/>
    </row>
    <row r="783">
      <c r="A783" s="19" t="n"/>
      <c r="B783" s="20" t="inlineStr">
        <is>
          <t>4503-XH-DL-6190-5612-0001-SC-05_Rev0</t>
        </is>
      </c>
      <c r="C783" s="21" t="n">
        <v>0</v>
      </c>
      <c r="D783" s="21" t="inlineStr">
        <is>
          <t>13.08.2026</t>
        </is>
      </c>
      <c r="E783" s="20" t="inlineStr">
        <is>
          <t>IFC - ISSUED FOR CONSTRUCTION</t>
        </is>
      </c>
      <c r="F783" s="21" t="n">
        <v>6190</v>
      </c>
      <c r="G783" s="20" t="inlineStr">
        <is>
          <t>PIPE B36.10/36.19 A333 6-SMLS BE BE</t>
        </is>
      </c>
      <c r="H783" s="20" t="inlineStr">
        <is>
          <t>A333</t>
        </is>
      </c>
      <c r="I783" s="22" t="n">
        <v>2</v>
      </c>
      <c r="J783" s="21" t="inlineStr">
        <is>
          <t>XS</t>
        </is>
      </c>
      <c r="K783" s="20" t="inlineStr">
        <is>
          <t>I64108762</t>
        </is>
      </c>
      <c r="L783" s="22" t="n">
        <v>14.2</v>
      </c>
      <c r="M783" s="20">
        <f>IFERROR(LEFT(B783,SEARCH("_Rev",B783)-1),B783)</f>
        <v/>
      </c>
      <c r="N783" s="20">
        <f>IF(B783="","",IF(ISNUMBER(C783),IF(COUNTIFS($M$3:$M$1026,M783,$C$3:$C$1026,"&gt;"&amp;C783)=0,"CURRENT","SUPERSEDED"),"CURRENT"))</f>
        <v/>
      </c>
      <c r="O783" s="19" t="n"/>
    </row>
    <row r="784">
      <c r="A784" s="19" t="n"/>
      <c r="B784" s="20" t="inlineStr">
        <is>
          <t>4503-XH-DL-6190-5612-0001-SC-06_Rev0</t>
        </is>
      </c>
      <c r="C784" s="21" t="n">
        <v>0</v>
      </c>
      <c r="D784" s="21" t="inlineStr">
        <is>
          <t>13.08.2026</t>
        </is>
      </c>
      <c r="E784" s="20" t="inlineStr">
        <is>
          <t>IFC - ISSUED FOR CONSTRUCTION</t>
        </is>
      </c>
      <c r="F784" s="21" t="n">
        <v>6190</v>
      </c>
      <c r="G784" s="20" t="inlineStr">
        <is>
          <t>PIPE B36.10/36.19 A333 6-SMLS BE BE</t>
        </is>
      </c>
      <c r="H784" s="20" t="inlineStr">
        <is>
          <t>A333</t>
        </is>
      </c>
      <c r="I784" s="22" t="n">
        <v>2</v>
      </c>
      <c r="J784" s="21" t="inlineStr">
        <is>
          <t>XS</t>
        </is>
      </c>
      <c r="K784" s="20" t="inlineStr">
        <is>
          <t>I64108762</t>
        </is>
      </c>
      <c r="L784" s="22" t="n">
        <v>20.7</v>
      </c>
      <c r="M784" s="20">
        <f>IFERROR(LEFT(B784,SEARCH("_Rev",B784)-1),B784)</f>
        <v/>
      </c>
      <c r="N784" s="20">
        <f>IF(B784="","",IF(ISNUMBER(C784),IF(COUNTIFS($M$3:$M$1026,M784,$C$3:$C$1026,"&gt;"&amp;C784)=0,"CURRENT","SUPERSEDED"),"CURRENT"))</f>
        <v/>
      </c>
      <c r="O784" s="19" t="n"/>
    </row>
    <row r="785">
      <c r="A785" s="19" t="n"/>
      <c r="B785" s="20" t="inlineStr">
        <is>
          <t>4503-XH-DL-6190-5612-0001-SC-06_Rev0</t>
        </is>
      </c>
      <c r="C785" s="21" t="n">
        <v>0</v>
      </c>
      <c r="D785" s="21" t="inlineStr">
        <is>
          <t>13.08.2026</t>
        </is>
      </c>
      <c r="E785" s="20" t="inlineStr">
        <is>
          <t>IFC - ISSUED FOR CONSTRUCTION</t>
        </is>
      </c>
      <c r="F785" s="21" t="n">
        <v>6190</v>
      </c>
      <c r="G785" s="20" t="inlineStr">
        <is>
          <t>PIPE B36.10/36.19 A333 6-SMLS PE PE</t>
        </is>
      </c>
      <c r="H785" s="20" t="inlineStr">
        <is>
          <t>A333</t>
        </is>
      </c>
      <c r="I785" s="22" t="n">
        <v>1</v>
      </c>
      <c r="J785" s="21" t="inlineStr">
        <is>
          <t>XS</t>
        </is>
      </c>
      <c r="K785" s="20" t="inlineStr">
        <is>
          <t>I63649231</t>
        </is>
      </c>
      <c r="L785" s="22" t="n">
        <v>0.1</v>
      </c>
      <c r="M785" s="20">
        <f>IFERROR(LEFT(B785,SEARCH("_Rev",B785)-1),B785)</f>
        <v/>
      </c>
      <c r="N785" s="20">
        <f>IF(B785="","",IF(ISNUMBER(C785),IF(COUNTIFS($M$3:$M$1026,M785,$C$3:$C$1026,"&gt;"&amp;C785)=0,"CURRENT","SUPERSEDED"),"CURRENT"))</f>
        <v/>
      </c>
      <c r="O785" s="19" t="n"/>
    </row>
    <row r="786">
      <c r="A786" s="19" t="n"/>
      <c r="B786" s="20" t="inlineStr">
        <is>
          <t>4503-XH-DL-6190-5670-0892-HD-01_Rev0</t>
        </is>
      </c>
      <c r="C786" s="21" t="n">
        <v>0</v>
      </c>
      <c r="D786" s="21" t="inlineStr">
        <is>
          <t>13.08.2026</t>
        </is>
      </c>
      <c r="E786" s="20" t="inlineStr">
        <is>
          <t>IFC - ISSUED FOR CONSTRUCTION</t>
        </is>
      </c>
      <c r="F786" s="21" t="n">
        <v>6190</v>
      </c>
      <c r="G786" s="20" t="inlineStr">
        <is>
          <t>PIPE B36.10/36.19 A333 6-SMLS BE BE</t>
        </is>
      </c>
      <c r="H786" s="20" t="inlineStr">
        <is>
          <t>A333</t>
        </is>
      </c>
      <c r="I786" s="22" t="n">
        <v>3</v>
      </c>
      <c r="J786" s="21" t="inlineStr">
        <is>
          <t>STD</t>
        </is>
      </c>
      <c r="K786" s="20" t="inlineStr">
        <is>
          <t>I63649171</t>
        </is>
      </c>
      <c r="L786" s="22" t="n">
        <v>11.2</v>
      </c>
      <c r="M786" s="20">
        <f>IFERROR(LEFT(B786,SEARCH("_Rev",B786)-1),B786)</f>
        <v/>
      </c>
      <c r="N786" s="20">
        <f>IF(B786="","",IF(ISNUMBER(C786),IF(COUNTIFS($M$3:$M$1026,M786,$C$3:$C$1026,"&gt;"&amp;C786)=0,"CURRENT","SUPERSEDED"),"CURRENT"))</f>
        <v/>
      </c>
      <c r="O786" s="19" t="n"/>
    </row>
    <row r="787">
      <c r="A787" s="19" t="n"/>
      <c r="B787" s="20" t="inlineStr">
        <is>
          <t>4503-XH-DL-6190-5670-0892-HD-02_Rev0</t>
        </is>
      </c>
      <c r="C787" s="21" t="n">
        <v>0</v>
      </c>
      <c r="D787" s="21" t="inlineStr">
        <is>
          <t>13.08.2026</t>
        </is>
      </c>
      <c r="E787" s="20" t="inlineStr">
        <is>
          <t>IFC - ISSUED FOR CONSTRUCTION</t>
        </is>
      </c>
      <c r="F787" s="21" t="n">
        <v>6190</v>
      </c>
      <c r="G787" s="20" t="inlineStr">
        <is>
          <t>PIPE B36.10/36.19 A333 6-SMLS BE BE</t>
        </is>
      </c>
      <c r="H787" s="20" t="inlineStr">
        <is>
          <t>A333</t>
        </is>
      </c>
      <c r="I787" s="22" t="n">
        <v>3</v>
      </c>
      <c r="J787" s="21" t="inlineStr">
        <is>
          <t>STD</t>
        </is>
      </c>
      <c r="K787" s="20" t="inlineStr">
        <is>
          <t>I63649171</t>
        </is>
      </c>
      <c r="L787" s="22" t="n">
        <v>8.4</v>
      </c>
      <c r="M787" s="20">
        <f>IFERROR(LEFT(B787,SEARCH("_Rev",B787)-1),B787)</f>
        <v/>
      </c>
      <c r="N787" s="20">
        <f>IF(B787="","",IF(ISNUMBER(C787),IF(COUNTIFS($M$3:$M$1026,M787,$C$3:$C$1026,"&gt;"&amp;C787)=0,"CURRENT","SUPERSEDED"),"CURRENT"))</f>
        <v/>
      </c>
      <c r="O787" s="19" t="n"/>
    </row>
    <row r="788">
      <c r="A788" s="19" t="n"/>
      <c r="B788" s="20" t="inlineStr">
        <is>
          <t>4503-XH-DL-6190-5670-0892-HD-04_Rev0</t>
        </is>
      </c>
      <c r="C788" s="21" t="n">
        <v>0</v>
      </c>
      <c r="D788" s="21" t="inlineStr">
        <is>
          <t>13.08.2026</t>
        </is>
      </c>
      <c r="E788" s="20" t="inlineStr">
        <is>
          <t>IFC - ISSUED FOR CONSTRUCTION</t>
        </is>
      </c>
      <c r="F788" s="21" t="n">
        <v>6190</v>
      </c>
      <c r="G788" s="20" t="inlineStr">
        <is>
          <t>PIPE B36.10/36.19 A333 6-SMLS BE BE</t>
        </is>
      </c>
      <c r="H788" s="20" t="inlineStr">
        <is>
          <t>A333</t>
        </is>
      </c>
      <c r="I788" s="22" t="n">
        <v>3</v>
      </c>
      <c r="J788" s="21" t="inlineStr">
        <is>
          <t>STD</t>
        </is>
      </c>
      <c r="K788" s="20" t="inlineStr">
        <is>
          <t>I63649171</t>
        </is>
      </c>
      <c r="L788" s="22" t="n">
        <v>1.4</v>
      </c>
      <c r="M788" s="20">
        <f>IFERROR(LEFT(B788,SEARCH("_Rev",B788)-1),B788)</f>
        <v/>
      </c>
      <c r="N788" s="20">
        <f>IF(B788="","",IF(ISNUMBER(C788),IF(COUNTIFS($M$3:$M$1026,M788,$C$3:$C$1026,"&gt;"&amp;C788)=0,"CURRENT","SUPERSEDED"),"CURRENT"))</f>
        <v/>
      </c>
      <c r="O788" s="19" t="n"/>
    </row>
    <row r="789">
      <c r="A789" s="19" t="n"/>
      <c r="B789" s="20" t="inlineStr">
        <is>
          <t>4503-XH-DL-6190-8900-5003-ETH-01_Rev0</t>
        </is>
      </c>
      <c r="C789" s="21" t="n">
        <v>0</v>
      </c>
      <c r="D789" s="21" t="inlineStr">
        <is>
          <t>13.08.2026</t>
        </is>
      </c>
      <c r="E789" s="20" t="inlineStr">
        <is>
          <t>IFC - ISSUED FOR CONSTRUCTION</t>
        </is>
      </c>
      <c r="F789" s="21" t="n">
        <v>6190</v>
      </c>
      <c r="G789" s="20" t="inlineStr">
        <is>
          <t>PIPE B36.10/36.19 A333 6-SMLS BE BE</t>
        </is>
      </c>
      <c r="H789" s="20" t="inlineStr">
        <is>
          <t>A333</t>
        </is>
      </c>
      <c r="I789" s="22" t="n">
        <v>12</v>
      </c>
      <c r="J789" s="21" t="inlineStr">
        <is>
          <t>STD</t>
        </is>
      </c>
      <c r="K789" s="20" t="inlineStr">
        <is>
          <t>I64955933</t>
        </is>
      </c>
      <c r="L789" s="22" t="n">
        <v>43.1</v>
      </c>
      <c r="M789" s="20">
        <f>IFERROR(LEFT(B789,SEARCH("_Rev",B789)-1),B789)</f>
        <v/>
      </c>
      <c r="N789" s="20">
        <f>IF(B789="","",IF(ISNUMBER(C789),IF(COUNTIFS($M$3:$M$1026,M789,$C$3:$C$1026,"&gt;"&amp;C789)=0,"CURRENT","SUPERSEDED"),"CURRENT"))</f>
        <v/>
      </c>
      <c r="O789" s="19" t="n"/>
    </row>
    <row r="790">
      <c r="A790" s="19" t="n"/>
      <c r="B790" s="20" t="inlineStr">
        <is>
          <t>4503-XH-DL-6190-8900-5003-ETH-02_Rev0</t>
        </is>
      </c>
      <c r="C790" s="21" t="n">
        <v>0</v>
      </c>
      <c r="D790" s="21" t="inlineStr">
        <is>
          <t>13.08.2026</t>
        </is>
      </c>
      <c r="E790" s="20" t="inlineStr">
        <is>
          <t>IFC - ISSUED FOR CONSTRUCTION</t>
        </is>
      </c>
      <c r="F790" s="21" t="n">
        <v>6190</v>
      </c>
      <c r="G790" s="20" t="inlineStr">
        <is>
          <t>PIPE B36.10/36.19 A333 6-SMLS BE BE</t>
        </is>
      </c>
      <c r="H790" s="20" t="inlineStr">
        <is>
          <t>A333</t>
        </is>
      </c>
      <c r="I790" s="22" t="n">
        <v>12</v>
      </c>
      <c r="J790" s="21" t="inlineStr">
        <is>
          <t>STD</t>
        </is>
      </c>
      <c r="K790" s="20" t="inlineStr">
        <is>
          <t>I64955933</t>
        </is>
      </c>
      <c r="L790" s="22" t="n">
        <v>14.1</v>
      </c>
      <c r="M790" s="20">
        <f>IFERROR(LEFT(B790,SEARCH("_Rev",B790)-1),B790)</f>
        <v/>
      </c>
      <c r="N790" s="20">
        <f>IF(B790="","",IF(ISNUMBER(C790),IF(COUNTIFS($M$3:$M$1026,M790,$C$3:$C$1026,"&gt;"&amp;C790)=0,"CURRENT","SUPERSEDED"),"CURRENT"))</f>
        <v/>
      </c>
      <c r="O790" s="19" t="n"/>
    </row>
    <row r="791">
      <c r="A791" s="19" t="n"/>
      <c r="B791" s="20" t="inlineStr">
        <is>
          <t>4503-XH-DL-6190-8940-5007-GWS1-01_Rev0</t>
        </is>
      </c>
      <c r="C791" s="21" t="n">
        <v>0</v>
      </c>
      <c r="D791" s="21" t="inlineStr">
        <is>
          <t>13.08.2026</t>
        </is>
      </c>
      <c r="E791" s="20" t="inlineStr">
        <is>
          <t>IFC - ISSUED FOR CONSTRUCTION</t>
        </is>
      </c>
      <c r="F791" s="21" t="n">
        <v>6190</v>
      </c>
      <c r="G791" s="20" t="inlineStr">
        <is>
          <t>PIPE B36.10/36.19 A333 6-SMLS BE BE</t>
        </is>
      </c>
      <c r="H791" s="20" t="inlineStr">
        <is>
          <t>A333</t>
        </is>
      </c>
      <c r="I791" s="22" t="n">
        <v>6</v>
      </c>
      <c r="J791" s="21" t="inlineStr">
        <is>
          <t>STD</t>
        </is>
      </c>
      <c r="K791" s="20" t="inlineStr">
        <is>
          <t>I63649156</t>
        </is>
      </c>
      <c r="L791" s="22" t="n">
        <v>41.8</v>
      </c>
      <c r="M791" s="20">
        <f>IFERROR(LEFT(B791,SEARCH("_Rev",B791)-1),B791)</f>
        <v/>
      </c>
      <c r="N791" s="20">
        <f>IF(B791="","",IF(ISNUMBER(C791),IF(COUNTIFS($M$3:$M$1026,M791,$C$3:$C$1026,"&gt;"&amp;C791)=0,"CURRENT","SUPERSEDED"),"CURRENT"))</f>
        <v/>
      </c>
      <c r="O791" s="19" t="n"/>
    </row>
    <row r="792">
      <c r="A792" s="19" t="n"/>
      <c r="B792" s="20" t="inlineStr">
        <is>
          <t>4503-XH-DL-6190-8967-5002-BU-01_Rev0</t>
        </is>
      </c>
      <c r="C792" s="21" t="n">
        <v>0</v>
      </c>
      <c r="D792" s="21" t="inlineStr">
        <is>
          <t>13.08.2026</t>
        </is>
      </c>
      <c r="E792" s="20" t="inlineStr">
        <is>
          <t>IFC - ISSUED FOR CONSTRUCTION</t>
        </is>
      </c>
      <c r="F792" s="21" t="n">
        <v>6190</v>
      </c>
      <c r="G792" s="20" t="inlineStr">
        <is>
          <t>PIPE B36.10/36.19 A333 6-SMLS BE BE</t>
        </is>
      </c>
      <c r="H792" s="20" t="inlineStr">
        <is>
          <t>A333</t>
        </is>
      </c>
      <c r="I792" s="22" t="n">
        <v>2</v>
      </c>
      <c r="J792" s="21" t="inlineStr">
        <is>
          <t>XS</t>
        </is>
      </c>
      <c r="K792" s="20" t="inlineStr">
        <is>
          <t>I64108762</t>
        </is>
      </c>
      <c r="L792" s="22" t="n">
        <v>42.9</v>
      </c>
      <c r="M792" s="20">
        <f>IFERROR(LEFT(B792,SEARCH("_Rev",B792)-1),B792)</f>
        <v/>
      </c>
      <c r="N792" s="20">
        <f>IF(B792="","",IF(ISNUMBER(C792),IF(COUNTIFS($M$3:$M$1026,M792,$C$3:$C$1026,"&gt;"&amp;C792)=0,"CURRENT","SUPERSEDED"),"CURRENT"))</f>
        <v/>
      </c>
      <c r="O792" s="19" t="n"/>
    </row>
    <row r="793">
      <c r="A793" s="19" t="n"/>
      <c r="B793" s="20" t="inlineStr">
        <is>
          <t>4503-XH-DL-6190-8967-5002-BU-02_Rev0</t>
        </is>
      </c>
      <c r="C793" s="21" t="n">
        <v>0</v>
      </c>
      <c r="D793" s="21" t="inlineStr">
        <is>
          <t>13.08.2026</t>
        </is>
      </c>
      <c r="E793" s="20" t="inlineStr">
        <is>
          <t>IFC - ISSUED FOR CONSTRUCTION</t>
        </is>
      </c>
      <c r="F793" s="21" t="n">
        <v>6190</v>
      </c>
      <c r="G793" s="20" t="inlineStr">
        <is>
          <t>PIPE B36.10/36.19 A333 6-SMLS BE BE</t>
        </is>
      </c>
      <c r="H793" s="20" t="inlineStr">
        <is>
          <t>A333</t>
        </is>
      </c>
      <c r="I793" s="22" t="n">
        <v>2</v>
      </c>
      <c r="J793" s="21" t="inlineStr">
        <is>
          <t>XS</t>
        </is>
      </c>
      <c r="K793" s="20" t="inlineStr">
        <is>
          <t>I64108762</t>
        </is>
      </c>
      <c r="L793" s="22" t="n">
        <v>2.3</v>
      </c>
      <c r="M793" s="20">
        <f>IFERROR(LEFT(B793,SEARCH("_Rev",B793)-1),B793)</f>
        <v/>
      </c>
      <c r="N793" s="20">
        <f>IF(B793="","",IF(ISNUMBER(C793),IF(COUNTIFS($M$3:$M$1026,M793,$C$3:$C$1026,"&gt;"&amp;C793)=0,"CURRENT","SUPERSEDED"),"CURRENT"))</f>
        <v/>
      </c>
      <c r="O793" s="19" t="n"/>
    </row>
    <row r="794">
      <c r="A794" s="19" t="n"/>
      <c r="B794" s="20" t="inlineStr">
        <is>
          <t>4503-XH-DL-8464-8467-5050-BU-01_Rev0</t>
        </is>
      </c>
      <c r="C794" s="21" t="n">
        <v>0</v>
      </c>
      <c r="D794" s="21" t="inlineStr">
        <is>
          <t>20.08.2026</t>
        </is>
      </c>
      <c r="E794" s="20" t="inlineStr">
        <is>
          <t>IFC-ISSUED FOR CONSTRUCTION</t>
        </is>
      </c>
      <c r="F794" s="21" t="n">
        <v>8464</v>
      </c>
      <c r="G794" s="20" t="inlineStr">
        <is>
          <t>PIPE B36.10/36.19 A333 6-SMLS BE BE</t>
        </is>
      </c>
      <c r="H794" s="20" t="inlineStr">
        <is>
          <t>A333</t>
        </is>
      </c>
      <c r="I794" s="22" t="n">
        <v>8</v>
      </c>
      <c r="J794" s="21" t="inlineStr">
        <is>
          <t>STD</t>
        </is>
      </c>
      <c r="K794" s="20" t="inlineStr">
        <is>
          <t>I64108766</t>
        </is>
      </c>
      <c r="L794" s="22" t="n">
        <v>37.8</v>
      </c>
      <c r="M794" s="20">
        <f>IFERROR(LEFT(B794,SEARCH("_Rev",B794)-1),B794)</f>
        <v/>
      </c>
      <c r="N794" s="20">
        <f>IF(B794="","",IF(ISNUMBER(C794),IF(COUNTIFS($M$3:$M$1026,M794,$C$3:$C$1026,"&gt;"&amp;C794)=0,"CURRENT","SUPERSEDED"),"CURRENT"))</f>
        <v/>
      </c>
      <c r="O794" s="19" t="n"/>
    </row>
    <row r="795">
      <c r="A795" s="19" t="n"/>
      <c r="B795" s="20" t="inlineStr">
        <is>
          <t>4503-XH-DL-8471-8473-5001-P-01_Rev0</t>
        </is>
      </c>
      <c r="C795" s="21" t="n">
        <v>0</v>
      </c>
      <c r="D795" s="21" t="n"/>
      <c r="E795" s="20" t="n"/>
      <c r="F795" s="21" t="n">
        <v>8471</v>
      </c>
      <c r="G795" s="20" t="inlineStr">
        <is>
          <t>PIPE B36.10/36.19 A333 6-SMLS BE BE</t>
        </is>
      </c>
      <c r="H795" s="20" t="inlineStr">
        <is>
          <t>A333</t>
        </is>
      </c>
      <c r="I795" s="22" t="n">
        <v>6</v>
      </c>
      <c r="J795" s="21" t="inlineStr">
        <is>
          <t>STD</t>
        </is>
      </c>
      <c r="K795" s="20" t="inlineStr">
        <is>
          <t>I63649156</t>
        </is>
      </c>
      <c r="L795" s="22" t="n">
        <v>68.5</v>
      </c>
      <c r="M795" s="20">
        <f>IFERROR(LEFT(B795,SEARCH("_Rev",B795)-1),B795)</f>
        <v/>
      </c>
      <c r="N795" s="20">
        <f>IF(B795="","",IF(ISNUMBER(C795),IF(COUNTIFS($M$3:$M$1026,M795,$C$3:$C$1026,"&gt;"&amp;C795)=0,"CURRENT","SUPERSEDED"),"CURRENT"))</f>
        <v/>
      </c>
      <c r="O795" s="19" t="n"/>
    </row>
    <row r="796">
      <c r="A796" s="19" t="n"/>
      <c r="B796" s="20" t="inlineStr">
        <is>
          <t>4503-XH-DL-8471-8474-5001-P-01_Rev0</t>
        </is>
      </c>
      <c r="C796" s="21" t="n">
        <v>0</v>
      </c>
      <c r="D796" s="21" t="n"/>
      <c r="E796" s="20" t="n"/>
      <c r="F796" s="21" t="n">
        <v>8471</v>
      </c>
      <c r="G796" s="20" t="inlineStr">
        <is>
          <t>PIPE B36.10/36.19 A333 6-SMLS BE BE</t>
        </is>
      </c>
      <c r="H796" s="20" t="inlineStr">
        <is>
          <t>A333</t>
        </is>
      </c>
      <c r="I796" s="22" t="n">
        <v>6</v>
      </c>
      <c r="J796" s="21" t="inlineStr">
        <is>
          <t>STD</t>
        </is>
      </c>
      <c r="K796" s="20" t="inlineStr">
        <is>
          <t>I63649156</t>
        </is>
      </c>
      <c r="L796" s="22" t="n">
        <v>69.90000000000001</v>
      </c>
      <c r="M796" s="20">
        <f>IFERROR(LEFT(B796,SEARCH("_Rev",B796)-1),B796)</f>
        <v/>
      </c>
      <c r="N796" s="20">
        <f>IF(B796="","",IF(ISNUMBER(C796),IF(COUNTIFS($M$3:$M$1026,M796,$C$3:$C$1026,"&gt;"&amp;C796)=0,"CURRENT","SUPERSEDED"),"CURRENT"))</f>
        <v/>
      </c>
      <c r="O796" s="19" t="n"/>
    </row>
    <row r="797">
      <c r="A797" s="19" t="n"/>
      <c r="B797" s="20" t="inlineStr">
        <is>
          <t>4503-XH-DL-8471-8476-0014-HE-01_Rev0</t>
        </is>
      </c>
      <c r="C797" s="21" t="n">
        <v>0</v>
      </c>
      <c r="D797" s="21" t="n"/>
      <c r="E797" s="20" t="n"/>
      <c r="F797" s="21" t="n">
        <v>8471</v>
      </c>
      <c r="G797" s="20" t="inlineStr">
        <is>
          <t>PIPE B36.10/36.19 A333 6-SMLS BE BE</t>
        </is>
      </c>
      <c r="H797" s="20" t="inlineStr">
        <is>
          <t>A333</t>
        </is>
      </c>
      <c r="I797" s="22" t="n">
        <v>6</v>
      </c>
      <c r="J797" s="21" t="inlineStr">
        <is>
          <t>STD</t>
        </is>
      </c>
      <c r="K797" s="20" t="inlineStr">
        <is>
          <t>I63649156</t>
        </is>
      </c>
      <c r="L797" s="22" t="n">
        <v>2</v>
      </c>
      <c r="M797" s="20">
        <f>IFERROR(LEFT(B797,SEARCH("_Rev",B797)-1),B797)</f>
        <v/>
      </c>
      <c r="N797" s="20">
        <f>IF(B797="","",IF(ISNUMBER(C797),IF(COUNTIFS($M$3:$M$1026,M797,$C$3:$C$1026,"&gt;"&amp;C797)=0,"CURRENT","SUPERSEDED"),"CURRENT"))</f>
        <v/>
      </c>
      <c r="O797" s="19" t="n"/>
    </row>
    <row r="798">
      <c r="A798" s="19" t="n"/>
      <c r="B798" s="20" t="inlineStr">
        <is>
          <t>4503-XH-DL-8471-8476-0014-HE-01_Rev0</t>
        </is>
      </c>
      <c r="C798" s="21" t="n">
        <v>0</v>
      </c>
      <c r="D798" s="21" t="n"/>
      <c r="E798" s="20" t="n"/>
      <c r="F798" s="21" t="n">
        <v>8471</v>
      </c>
      <c r="G798" s="20" t="inlineStr">
        <is>
          <t>PIPE B36.10/36.19 A333 6-SMLS PE PE</t>
        </is>
      </c>
      <c r="H798" s="20" t="inlineStr">
        <is>
          <t>A333</t>
        </is>
      </c>
      <c r="I798" s="22" t="n">
        <v>1</v>
      </c>
      <c r="J798" s="21" t="inlineStr">
        <is>
          <t>XS</t>
        </is>
      </c>
      <c r="K798" s="20" t="inlineStr">
        <is>
          <t>I63649231</t>
        </is>
      </c>
      <c r="L798" s="22" t="n">
        <v>1.1</v>
      </c>
      <c r="M798" s="20">
        <f>IFERROR(LEFT(B798,SEARCH("_Rev",B798)-1),B798)</f>
        <v/>
      </c>
      <c r="N798" s="20">
        <f>IF(B798="","",IF(ISNUMBER(C798),IF(COUNTIFS($M$3:$M$1026,M798,$C$3:$C$1026,"&gt;"&amp;C798)=0,"CURRENT","SUPERSEDED"),"CURRENT"))</f>
        <v/>
      </c>
      <c r="O798" s="19" t="n"/>
    </row>
    <row r="799">
      <c r="A799" s="19" t="n"/>
      <c r="B799" s="20" t="inlineStr">
        <is>
          <t>4503-XH-DL-8471-8476-0014-HE-01_Rev0</t>
        </is>
      </c>
      <c r="C799" s="21" t="n">
        <v>0</v>
      </c>
      <c r="D799" s="21" t="n"/>
      <c r="E799" s="20" t="n"/>
      <c r="F799" s="21" t="n">
        <v>8471</v>
      </c>
      <c r="G799" s="20" t="inlineStr">
        <is>
          <t>PIPE B36.10/36.19 A333 6-SMLS PE PE</t>
        </is>
      </c>
      <c r="H799" s="20" t="inlineStr">
        <is>
          <t>A333</t>
        </is>
      </c>
      <c r="I799" s="22" t="inlineStr">
        <is>
          <t>3/4</t>
        </is>
      </c>
      <c r="J799" s="21" t="inlineStr">
        <is>
          <t>XS</t>
        </is>
      </c>
      <c r="K799" s="20" t="inlineStr">
        <is>
          <t>I63649256</t>
        </is>
      </c>
      <c r="L799" s="22" t="n">
        <v>0.2</v>
      </c>
      <c r="M799" s="20">
        <f>IFERROR(LEFT(B799,SEARCH("_Rev",B799)-1),B799)</f>
        <v/>
      </c>
      <c r="N799" s="20">
        <f>IF(B799="","",IF(ISNUMBER(C799),IF(COUNTIFS($M$3:$M$1026,M799,$C$3:$C$1026,"&gt;"&amp;C799)=0,"CURRENT","SUPERSEDED"),"CURRENT"))</f>
        <v/>
      </c>
      <c r="O799" s="19" t="n"/>
    </row>
    <row r="800">
      <c r="A800" s="19" t="n"/>
      <c r="B800" s="20" t="inlineStr">
        <is>
          <t>4503-XH-DL-8471-8476-0015-HE-01_Rev0</t>
        </is>
      </c>
      <c r="C800" s="21" t="n">
        <v>0</v>
      </c>
      <c r="D800" s="21" t="n"/>
      <c r="E800" s="20" t="n"/>
      <c r="F800" s="21" t="n">
        <v>8471</v>
      </c>
      <c r="G800" s="20" t="inlineStr">
        <is>
          <t>PIPE B36.10/36.19 A333 6-SMLS BE BE</t>
        </is>
      </c>
      <c r="H800" s="20" t="inlineStr">
        <is>
          <t>A333</t>
        </is>
      </c>
      <c r="I800" s="22" t="n">
        <v>6</v>
      </c>
      <c r="J800" s="21" t="inlineStr">
        <is>
          <t>STD</t>
        </is>
      </c>
      <c r="K800" s="20" t="inlineStr">
        <is>
          <t>I63649156</t>
        </is>
      </c>
      <c r="L800" s="22" t="n">
        <v>2</v>
      </c>
      <c r="M800" s="20">
        <f>IFERROR(LEFT(B800,SEARCH("_Rev",B800)-1),B800)</f>
        <v/>
      </c>
      <c r="N800" s="20">
        <f>IF(B800="","",IF(ISNUMBER(C800),IF(COUNTIFS($M$3:$M$1026,M800,$C$3:$C$1026,"&gt;"&amp;C800)=0,"CURRENT","SUPERSEDED"),"CURRENT"))</f>
        <v/>
      </c>
      <c r="O800" s="19" t="n"/>
    </row>
    <row r="801">
      <c r="A801" s="19" t="n"/>
      <c r="B801" s="20" t="inlineStr">
        <is>
          <t>4503-XH-DL-8471-8476-0015-HE-01_Rev0</t>
        </is>
      </c>
      <c r="C801" s="21" t="n">
        <v>0</v>
      </c>
      <c r="D801" s="21" t="n"/>
      <c r="E801" s="20" t="n"/>
      <c r="F801" s="21" t="n">
        <v>8471</v>
      </c>
      <c r="G801" s="20" t="inlineStr">
        <is>
          <t>PIPE B36.10/36.19 A333 6-SMLS PE PE</t>
        </is>
      </c>
      <c r="H801" s="20" t="inlineStr">
        <is>
          <t>A333</t>
        </is>
      </c>
      <c r="I801" s="22" t="n">
        <v>1</v>
      </c>
      <c r="J801" s="21" t="inlineStr">
        <is>
          <t>XS</t>
        </is>
      </c>
      <c r="K801" s="20" t="inlineStr">
        <is>
          <t>I63649231</t>
        </is>
      </c>
      <c r="L801" s="22" t="n">
        <v>1.1</v>
      </c>
      <c r="M801" s="20">
        <f>IFERROR(LEFT(B801,SEARCH("_Rev",B801)-1),B801)</f>
        <v/>
      </c>
      <c r="N801" s="20">
        <f>IF(B801="","",IF(ISNUMBER(C801),IF(COUNTIFS($M$3:$M$1026,M801,$C$3:$C$1026,"&gt;"&amp;C801)=0,"CURRENT","SUPERSEDED"),"CURRENT"))</f>
        <v/>
      </c>
      <c r="O801" s="19" t="n"/>
    </row>
    <row r="802">
      <c r="A802" s="19" t="n"/>
      <c r="B802" s="20" t="inlineStr">
        <is>
          <t>4503-XH-DL-8471-8476-0015-HE-01_Rev0</t>
        </is>
      </c>
      <c r="C802" s="21" t="n">
        <v>0</v>
      </c>
      <c r="D802" s="21" t="n"/>
      <c r="E802" s="20" t="n"/>
      <c r="F802" s="21" t="n">
        <v>8471</v>
      </c>
      <c r="G802" s="20" t="inlineStr">
        <is>
          <t>PIPE B36.10/36.19 A333 6-SMLS PE PE</t>
        </is>
      </c>
      <c r="H802" s="20" t="inlineStr">
        <is>
          <t>A333</t>
        </is>
      </c>
      <c r="I802" s="22" t="inlineStr">
        <is>
          <t>3/4</t>
        </is>
      </c>
      <c r="J802" s="21" t="inlineStr">
        <is>
          <t>XS</t>
        </is>
      </c>
      <c r="K802" s="20" t="inlineStr">
        <is>
          <t>I63649256</t>
        </is>
      </c>
      <c r="L802" s="22" t="n">
        <v>0.2</v>
      </c>
      <c r="M802" s="20">
        <f>IFERROR(LEFT(B802,SEARCH("_Rev",B802)-1),B802)</f>
        <v/>
      </c>
      <c r="N802" s="20">
        <f>IF(B802="","",IF(ISNUMBER(C802),IF(COUNTIFS($M$3:$M$1026,M802,$C$3:$C$1026,"&gt;"&amp;C802)=0,"CURRENT","SUPERSEDED"),"CURRENT"))</f>
        <v/>
      </c>
      <c r="O802" s="19" t="n"/>
    </row>
    <row r="803">
      <c r="A803" s="19" t="n"/>
      <c r="B803" s="20" t="inlineStr">
        <is>
          <t>4503-XH-DL-8471-8478-5001-WL-01_Rev0</t>
        </is>
      </c>
      <c r="C803" s="21" t="n">
        <v>0</v>
      </c>
      <c r="D803" s="21" t="n"/>
      <c r="E803" s="20" t="n"/>
      <c r="F803" s="21" t="n">
        <v>8471</v>
      </c>
      <c r="G803" s="20" t="inlineStr">
        <is>
          <t>PIPE B36.10/36.19 A333 6-SMLS BE BE</t>
        </is>
      </c>
      <c r="H803" s="20" t="inlineStr">
        <is>
          <t>A333</t>
        </is>
      </c>
      <c r="I803" s="22" t="n">
        <v>6</v>
      </c>
      <c r="J803" s="21" t="inlineStr">
        <is>
          <t>STD</t>
        </is>
      </c>
      <c r="K803" s="20" t="inlineStr">
        <is>
          <t>I63649156</t>
        </is>
      </c>
      <c r="L803" s="22" t="n">
        <v>68</v>
      </c>
      <c r="M803" s="20">
        <f>IFERROR(LEFT(B803,SEARCH("_Rev",B803)-1),B803)</f>
        <v/>
      </c>
      <c r="N803" s="20">
        <f>IF(B803="","",IF(ISNUMBER(C803),IF(COUNTIFS($M$3:$M$1026,M803,$C$3:$C$1026,"&gt;"&amp;C803)=0,"CURRENT","SUPERSEDED"),"CURRENT"))</f>
        <v/>
      </c>
      <c r="O803" s="19" t="n"/>
    </row>
    <row r="804">
      <c r="A804" s="19" t="n"/>
      <c r="B804" s="20" t="inlineStr">
        <is>
          <t>4503-XH-DL-8502-8582-1201-SW2-01_Rev0</t>
        </is>
      </c>
      <c r="C804" s="21" t="n">
        <v>0</v>
      </c>
      <c r="D804" s="21" t="inlineStr">
        <is>
          <t>10.08.2026</t>
        </is>
      </c>
      <c r="E804" s="20" t="inlineStr">
        <is>
          <t>IFC - ISSUED FOR CONSTRUCTION</t>
        </is>
      </c>
      <c r="F804" s="21" t="n">
        <v>8502</v>
      </c>
      <c r="G804" s="20" t="inlineStr">
        <is>
          <t>PIPE B36.10/36.19 A333 6-SMLS BE BE</t>
        </is>
      </c>
      <c r="H804" s="20" t="inlineStr">
        <is>
          <t>A333</t>
        </is>
      </c>
      <c r="I804" s="22" t="n">
        <v>12</v>
      </c>
      <c r="J804" s="21" t="inlineStr">
        <is>
          <t>STD</t>
        </is>
      </c>
      <c r="K804" s="20" t="inlineStr">
        <is>
          <t>I64955933</t>
        </is>
      </c>
      <c r="L804" s="22" t="n">
        <v>44.9</v>
      </c>
      <c r="M804" s="20">
        <f>IFERROR(LEFT(B804,SEARCH("_Rev",B804)-1),B804)</f>
        <v/>
      </c>
      <c r="N804" s="20">
        <f>IF(B804="","",IF(ISNUMBER(C804),IF(COUNTIFS($M$3:$M$1026,M804,$C$3:$C$1026,"&gt;"&amp;C804)=0,"CURRENT","SUPERSEDED"),"CURRENT"))</f>
        <v/>
      </c>
      <c r="O804" s="19" t="n"/>
    </row>
    <row r="805">
      <c r="A805" s="19" t="n"/>
      <c r="B805" s="20" t="inlineStr">
        <is>
          <t>4503-XH-DL-8502-8582-1201-SW2-02_Rev0</t>
        </is>
      </c>
      <c r="C805" s="21" t="n">
        <v>0</v>
      </c>
      <c r="D805" s="21" t="inlineStr">
        <is>
          <t>10.08.2026</t>
        </is>
      </c>
      <c r="E805" s="20" t="inlineStr">
        <is>
          <t>IFC - ISSUED FOR CONSTRUCTION</t>
        </is>
      </c>
      <c r="F805" s="21" t="n">
        <v>8502</v>
      </c>
      <c r="G805" s="20" t="inlineStr">
        <is>
          <t>PIPE B36.10/36.19 A333 6-SMLS BE BE</t>
        </is>
      </c>
      <c r="H805" s="20" t="inlineStr">
        <is>
          <t>A333</t>
        </is>
      </c>
      <c r="I805" s="22" t="n">
        <v>12</v>
      </c>
      <c r="J805" s="21" t="inlineStr">
        <is>
          <t>STD</t>
        </is>
      </c>
      <c r="K805" s="20" t="inlineStr">
        <is>
          <t>I64955933</t>
        </is>
      </c>
      <c r="L805" s="22" t="n">
        <v>63.4</v>
      </c>
      <c r="M805" s="20">
        <f>IFERROR(LEFT(B805,SEARCH("_Rev",B805)-1),B805)</f>
        <v/>
      </c>
      <c r="N805" s="20">
        <f>IF(B805="","",IF(ISNUMBER(C805),IF(COUNTIFS($M$3:$M$1026,M805,$C$3:$C$1026,"&gt;"&amp;C805)=0,"CURRENT","SUPERSEDED"),"CURRENT"))</f>
        <v/>
      </c>
      <c r="O805" s="19" t="n"/>
    </row>
    <row r="806">
      <c r="A806" s="19" t="n"/>
      <c r="B806" s="20" t="inlineStr">
        <is>
          <t>4503-XH-DL-8502-8582-1201-SW2-03_Rev0</t>
        </is>
      </c>
      <c r="C806" s="21" t="n">
        <v>0</v>
      </c>
      <c r="D806" s="21" t="inlineStr">
        <is>
          <t>10.08.2026</t>
        </is>
      </c>
      <c r="E806" s="20" t="inlineStr">
        <is>
          <t>IFC - ISSUED FOR CONSTRUCTION</t>
        </is>
      </c>
      <c r="F806" s="21" t="n">
        <v>8502</v>
      </c>
      <c r="G806" s="20" t="inlineStr">
        <is>
          <t>PIPE B36.10/36.19 A333 6-SMLS BE BE</t>
        </is>
      </c>
      <c r="H806" s="20" t="inlineStr">
        <is>
          <t>A333</t>
        </is>
      </c>
      <c r="I806" s="22" t="n">
        <v>12</v>
      </c>
      <c r="J806" s="21" t="inlineStr">
        <is>
          <t>STD</t>
        </is>
      </c>
      <c r="K806" s="20" t="inlineStr">
        <is>
          <t>I64955933</t>
        </is>
      </c>
      <c r="L806" s="22" t="n">
        <v>66.3</v>
      </c>
      <c r="M806" s="20">
        <f>IFERROR(LEFT(B806,SEARCH("_Rev",B806)-1),B806)</f>
        <v/>
      </c>
      <c r="N806" s="20">
        <f>IF(B806="","",IF(ISNUMBER(C806),IF(COUNTIFS($M$3:$M$1026,M806,$C$3:$C$1026,"&gt;"&amp;C806)=0,"CURRENT","SUPERSEDED"),"CURRENT"))</f>
        <v/>
      </c>
      <c r="O806" s="19" t="n"/>
    </row>
    <row r="807">
      <c r="A807" s="19" t="n"/>
      <c r="B807" s="20" t="inlineStr">
        <is>
          <t>4503-XH-DL-8502-8582-1201-SW2-04_Rev0</t>
        </is>
      </c>
      <c r="C807" s="21" t="n">
        <v>0</v>
      </c>
      <c r="D807" s="21" t="inlineStr">
        <is>
          <t>10.08.2026</t>
        </is>
      </c>
      <c r="E807" s="20" t="inlineStr">
        <is>
          <t>IFC - ISSUED FOR CONSTRUCTION</t>
        </is>
      </c>
      <c r="F807" s="21" t="n">
        <v>8502</v>
      </c>
      <c r="G807" s="20" t="inlineStr">
        <is>
          <t>PIPE B36.10/36.19 A333 6-SMLS BE BE</t>
        </is>
      </c>
      <c r="H807" s="20" t="inlineStr">
        <is>
          <t>A333</t>
        </is>
      </c>
      <c r="I807" s="22" t="n">
        <v>12</v>
      </c>
      <c r="J807" s="21" t="inlineStr">
        <is>
          <t>STD</t>
        </is>
      </c>
      <c r="K807" s="20" t="inlineStr">
        <is>
          <t>I64955933</t>
        </is>
      </c>
      <c r="L807" s="22" t="n">
        <v>7.2</v>
      </c>
      <c r="M807" s="20">
        <f>IFERROR(LEFT(B807,SEARCH("_Rev",B807)-1),B807)</f>
        <v/>
      </c>
      <c r="N807" s="20">
        <f>IF(B807="","",IF(ISNUMBER(C807),IF(COUNTIFS($M$3:$M$1026,M807,$C$3:$C$1026,"&gt;"&amp;C807)=0,"CURRENT","SUPERSEDED"),"CURRENT"))</f>
        <v/>
      </c>
      <c r="O807" s="19" t="n"/>
    </row>
    <row r="808">
      <c r="A808" s="19" t="n"/>
      <c r="B808" s="20" t="inlineStr">
        <is>
          <t>4503-XH-DL-8502-8582-1201-SW2-05_Rev0</t>
        </is>
      </c>
      <c r="C808" s="21" t="n">
        <v>0</v>
      </c>
      <c r="D808" s="21" t="inlineStr">
        <is>
          <t>10.08.2026</t>
        </is>
      </c>
      <c r="E808" s="20" t="inlineStr">
        <is>
          <t>IFC - ISSUED FOR CONSTRUCTION</t>
        </is>
      </c>
      <c r="F808" s="21" t="n">
        <v>8502</v>
      </c>
      <c r="G808" s="20" t="inlineStr">
        <is>
          <t>PIPE B36.10/36.19 A333 6-SMLS BE BE</t>
        </is>
      </c>
      <c r="H808" s="20" t="inlineStr">
        <is>
          <t>A333</t>
        </is>
      </c>
      <c r="I808" s="22" t="n">
        <v>12</v>
      </c>
      <c r="J808" s="21" t="inlineStr">
        <is>
          <t>STD</t>
        </is>
      </c>
      <c r="K808" s="20" t="inlineStr">
        <is>
          <t>I64955933</t>
        </is>
      </c>
      <c r="L808" s="22" t="n">
        <v>49.9</v>
      </c>
      <c r="M808" s="20">
        <f>IFERROR(LEFT(B808,SEARCH("_Rev",B808)-1),B808)</f>
        <v/>
      </c>
      <c r="N808" s="20">
        <f>IF(B808="","",IF(ISNUMBER(C808),IF(COUNTIFS($M$3:$M$1026,M808,$C$3:$C$1026,"&gt;"&amp;C808)=0,"CURRENT","SUPERSEDED"),"CURRENT"))</f>
        <v/>
      </c>
      <c r="O808" s="19" t="n"/>
    </row>
    <row r="809">
      <c r="A809" s="19" t="n"/>
      <c r="B809" s="20" t="inlineStr">
        <is>
          <t>4503-XH-DL-8702-8770-5075-FL-01_Rev0</t>
        </is>
      </c>
      <c r="C809" s="21" t="n">
        <v>0</v>
      </c>
      <c r="D809" s="21" t="inlineStr">
        <is>
          <t>20.08.2026</t>
        </is>
      </c>
      <c r="E809" s="20" t="inlineStr">
        <is>
          <t>IFC - ISSUED FOR CONSTRUCTION</t>
        </is>
      </c>
      <c r="F809" s="21" t="n">
        <v>8702</v>
      </c>
      <c r="G809" s="20" t="inlineStr">
        <is>
          <t>PIPE B36.10/36.19 A333 6-SMLS BE BE</t>
        </is>
      </c>
      <c r="H809" s="20" t="inlineStr">
        <is>
          <t>A333</t>
        </is>
      </c>
      <c r="I809" s="22" t="n">
        <v>6</v>
      </c>
      <c r="J809" s="21" t="inlineStr">
        <is>
          <t>STD</t>
        </is>
      </c>
      <c r="K809" s="20" t="inlineStr">
        <is>
          <t>I63649156</t>
        </is>
      </c>
      <c r="L809" s="22" t="n">
        <v>14</v>
      </c>
      <c r="M809" s="20">
        <f>IFERROR(LEFT(B809,SEARCH("_Rev",B809)-1),B809)</f>
        <v/>
      </c>
      <c r="N809" s="20">
        <f>IF(B809="","",IF(ISNUMBER(C809),IF(COUNTIFS($M$3:$M$1026,M809,$C$3:$C$1026,"&gt;"&amp;C809)=0,"CURRENT","SUPERSEDED"),"CURRENT"))</f>
        <v/>
      </c>
      <c r="O809" s="19" t="n"/>
    </row>
    <row r="810">
      <c r="A810" s="19" t="n"/>
      <c r="B810" s="20" t="inlineStr">
        <is>
          <t>4503-XH-DL-8702-8770-5075-FL-01_Rev0</t>
        </is>
      </c>
      <c r="C810" s="21" t="n">
        <v>0</v>
      </c>
      <c r="D810" s="21" t="inlineStr">
        <is>
          <t>20.08.2026</t>
        </is>
      </c>
      <c r="E810" s="20" t="inlineStr">
        <is>
          <t>IFC - ISSUED FOR CONSTRUCTION</t>
        </is>
      </c>
      <c r="F810" s="21" t="n">
        <v>8702</v>
      </c>
      <c r="G810" s="20" t="inlineStr">
        <is>
          <t>PIPE B36.10/36.19 A333 6-SMLS PE PE</t>
        </is>
      </c>
      <c r="H810" s="20" t="inlineStr">
        <is>
          <t>A333</t>
        </is>
      </c>
      <c r="I810" s="22" t="n">
        <v>1</v>
      </c>
      <c r="J810" s="21" t="inlineStr">
        <is>
          <t>XS</t>
        </is>
      </c>
      <c r="K810" s="20" t="inlineStr">
        <is>
          <t>I63649231</t>
        </is>
      </c>
      <c r="L810" s="22" t="n">
        <v>0.1</v>
      </c>
      <c r="M810" s="20">
        <f>IFERROR(LEFT(B810,SEARCH("_Rev",B810)-1),B810)</f>
        <v/>
      </c>
      <c r="N810" s="20">
        <f>IF(B810="","",IF(ISNUMBER(C810),IF(COUNTIFS($M$3:$M$1026,M810,$C$3:$C$1026,"&gt;"&amp;C810)=0,"CURRENT","SUPERSEDED"),"CURRENT"))</f>
        <v/>
      </c>
      <c r="O810" s="19" t="n"/>
    </row>
    <row r="811">
      <c r="A811" s="19" t="n"/>
      <c r="B811" s="20" t="inlineStr">
        <is>
          <t>4503-XH-DL-8702-8770-5076-FL-01_Rev0</t>
        </is>
      </c>
      <c r="C811" s="21" t="n">
        <v>0</v>
      </c>
      <c r="D811" s="21" t="inlineStr">
        <is>
          <t>20.08.2026</t>
        </is>
      </c>
      <c r="E811" s="20" t="inlineStr">
        <is>
          <t>IFC - ISSUED FOR CONSTRUCTION</t>
        </is>
      </c>
      <c r="F811" s="21" t="n">
        <v>8702</v>
      </c>
      <c r="G811" s="20" t="inlineStr">
        <is>
          <t>PIPE B36.10/36.19 A333 6-SMLS BE BE</t>
        </is>
      </c>
      <c r="H811" s="20" t="inlineStr">
        <is>
          <t>A333</t>
        </is>
      </c>
      <c r="I811" s="22" t="n">
        <v>6</v>
      </c>
      <c r="J811" s="21" t="inlineStr">
        <is>
          <t>STD</t>
        </is>
      </c>
      <c r="K811" s="20" t="inlineStr">
        <is>
          <t>I63649156</t>
        </is>
      </c>
      <c r="L811" s="22" t="n">
        <v>14.4</v>
      </c>
      <c r="M811" s="20">
        <f>IFERROR(LEFT(B811,SEARCH("_Rev",B811)-1),B811)</f>
        <v/>
      </c>
      <c r="N811" s="20">
        <f>IF(B811="","",IF(ISNUMBER(C811),IF(COUNTIFS($M$3:$M$1026,M811,$C$3:$C$1026,"&gt;"&amp;C811)=0,"CURRENT","SUPERSEDED"),"CURRENT"))</f>
        <v/>
      </c>
      <c r="O811" s="19" t="n"/>
    </row>
    <row r="812">
      <c r="A812" s="19" t="n"/>
      <c r="B812" s="20" t="inlineStr">
        <is>
          <t>4503-XH-DL-8702-8770-5076-FL-01_Rev0</t>
        </is>
      </c>
      <c r="C812" s="21" t="n">
        <v>0</v>
      </c>
      <c r="D812" s="21" t="inlineStr">
        <is>
          <t>20.08.2026</t>
        </is>
      </c>
      <c r="E812" s="20" t="inlineStr">
        <is>
          <t>IFC - ISSUED FOR CONSTRUCTION</t>
        </is>
      </c>
      <c r="F812" s="21" t="n">
        <v>8702</v>
      </c>
      <c r="G812" s="20" t="inlineStr">
        <is>
          <t>PIPE B36.10/36.19 A333 6-SMLS PE PE</t>
        </is>
      </c>
      <c r="H812" s="20" t="inlineStr">
        <is>
          <t>A333</t>
        </is>
      </c>
      <c r="I812" s="22" t="n">
        <v>1</v>
      </c>
      <c r="J812" s="21" t="inlineStr">
        <is>
          <t>XS</t>
        </is>
      </c>
      <c r="K812" s="20" t="inlineStr">
        <is>
          <t>I63649231</t>
        </is>
      </c>
      <c r="L812" s="22" t="n">
        <v>0.1</v>
      </c>
      <c r="M812" s="20">
        <f>IFERROR(LEFT(B812,SEARCH("_Rev",B812)-1),B812)</f>
        <v/>
      </c>
      <c r="N812" s="20">
        <f>IF(B812="","",IF(ISNUMBER(C812),IF(COUNTIFS($M$3:$M$1026,M812,$C$3:$C$1026,"&gt;"&amp;C812)=0,"CURRENT","SUPERSEDED"),"CURRENT"))</f>
        <v/>
      </c>
      <c r="O812" s="19" t="n"/>
    </row>
    <row r="813">
      <c r="A813" s="19" t="n"/>
      <c r="B813" s="20" t="inlineStr">
        <is>
          <t>4503-XH-DL-8702-8770-5077-FL-01_Rev0</t>
        </is>
      </c>
      <c r="C813" s="21" t="n">
        <v>0</v>
      </c>
      <c r="D813" s="21" t="inlineStr">
        <is>
          <t>20.08.2026</t>
        </is>
      </c>
      <c r="E813" s="20" t="inlineStr">
        <is>
          <t>IFC - ISSUED FOR CONSTRUCTION</t>
        </is>
      </c>
      <c r="F813" s="21" t="n">
        <v>8702</v>
      </c>
      <c r="G813" s="20" t="inlineStr">
        <is>
          <t>PIPE B36.10/36.19 A333 6-SMLS BE BE</t>
        </is>
      </c>
      <c r="H813" s="20" t="inlineStr">
        <is>
          <t>A333</t>
        </is>
      </c>
      <c r="I813" s="22" t="n">
        <v>6</v>
      </c>
      <c r="J813" s="21" t="inlineStr">
        <is>
          <t>STD</t>
        </is>
      </c>
      <c r="K813" s="20" t="inlineStr">
        <is>
          <t>I63649156</t>
        </is>
      </c>
      <c r="L813" s="22" t="n">
        <v>14.1</v>
      </c>
      <c r="M813" s="20">
        <f>IFERROR(LEFT(B813,SEARCH("_Rev",B813)-1),B813)</f>
        <v/>
      </c>
      <c r="N813" s="20">
        <f>IF(B813="","",IF(ISNUMBER(C813),IF(COUNTIFS($M$3:$M$1026,M813,$C$3:$C$1026,"&gt;"&amp;C813)=0,"CURRENT","SUPERSEDED"),"CURRENT"))</f>
        <v/>
      </c>
      <c r="O813" s="19" t="n"/>
    </row>
    <row r="814">
      <c r="A814" s="19" t="n"/>
      <c r="B814" s="20" t="inlineStr">
        <is>
          <t>4503-XH-DL-8702-8770-5077-FL-01_Rev0</t>
        </is>
      </c>
      <c r="C814" s="21" t="n">
        <v>0</v>
      </c>
      <c r="D814" s="21" t="inlineStr">
        <is>
          <t>20.08.2026</t>
        </is>
      </c>
      <c r="E814" s="20" t="inlineStr">
        <is>
          <t>IFC - ISSUED FOR CONSTRUCTION</t>
        </is>
      </c>
      <c r="F814" s="21" t="n">
        <v>8702</v>
      </c>
      <c r="G814" s="20" t="inlineStr">
        <is>
          <t>PIPE B36.10/36.19 A333 6-SMLS PE PE</t>
        </is>
      </c>
      <c r="H814" s="20" t="inlineStr">
        <is>
          <t>A333</t>
        </is>
      </c>
      <c r="I814" s="22" t="n">
        <v>1</v>
      </c>
      <c r="J814" s="21" t="inlineStr">
        <is>
          <t>XS</t>
        </is>
      </c>
      <c r="K814" s="20" t="inlineStr">
        <is>
          <t>I63649231</t>
        </is>
      </c>
      <c r="L814" s="22" t="n">
        <v>0.1</v>
      </c>
      <c r="M814" s="20">
        <f>IFERROR(LEFT(B814,SEARCH("_Rev",B814)-1),B814)</f>
        <v/>
      </c>
      <c r="N814" s="20">
        <f>IF(B814="","",IF(ISNUMBER(C814),IF(COUNTIFS($M$3:$M$1026,M814,$C$3:$C$1026,"&gt;"&amp;C814)=0,"CURRENT","SUPERSEDED"),"CURRENT"))</f>
        <v/>
      </c>
      <c r="O814" s="19" t="n"/>
    </row>
    <row r="815">
      <c r="A815" s="19" t="n"/>
      <c r="B815" s="20" t="inlineStr">
        <is>
          <t>4503-XH-DL-8702-8770-5078-FL-01_Rev0</t>
        </is>
      </c>
      <c r="C815" s="21" t="n">
        <v>0</v>
      </c>
      <c r="D815" s="21" t="inlineStr">
        <is>
          <t>20.08.2026</t>
        </is>
      </c>
      <c r="E815" s="20" t="inlineStr">
        <is>
          <t>IFC - ISSUED FOR CONSTRUCTION</t>
        </is>
      </c>
      <c r="F815" s="21" t="n">
        <v>8702</v>
      </c>
      <c r="G815" s="20" t="inlineStr">
        <is>
          <t>PIPE B36.10/36.19 A333 6-SMLS BE BE</t>
        </is>
      </c>
      <c r="H815" s="20" t="inlineStr">
        <is>
          <t>A333</t>
        </is>
      </c>
      <c r="I815" s="22" t="n">
        <v>6</v>
      </c>
      <c r="J815" s="21" t="inlineStr">
        <is>
          <t>STD</t>
        </is>
      </c>
      <c r="K815" s="20" t="inlineStr">
        <is>
          <t>I63649156</t>
        </is>
      </c>
      <c r="L815" s="22" t="n">
        <v>14.2</v>
      </c>
      <c r="M815" s="20">
        <f>IFERROR(LEFT(B815,SEARCH("_Rev",B815)-1),B815)</f>
        <v/>
      </c>
      <c r="N815" s="20">
        <f>IF(B815="","",IF(ISNUMBER(C815),IF(COUNTIFS($M$3:$M$1026,M815,$C$3:$C$1026,"&gt;"&amp;C815)=0,"CURRENT","SUPERSEDED"),"CURRENT"))</f>
        <v/>
      </c>
      <c r="O815" s="19" t="n"/>
    </row>
    <row r="816">
      <c r="A816" s="19" t="n"/>
      <c r="B816" s="20" t="inlineStr">
        <is>
          <t>4503-XH-DL-8702-8770-5078-FL-01_Rev0</t>
        </is>
      </c>
      <c r="C816" s="21" t="n">
        <v>0</v>
      </c>
      <c r="D816" s="21" t="inlineStr">
        <is>
          <t>20.08.2026</t>
        </is>
      </c>
      <c r="E816" s="20" t="inlineStr">
        <is>
          <t>IFC - ISSUED FOR CONSTRUCTION</t>
        </is>
      </c>
      <c r="F816" s="21" t="n">
        <v>8702</v>
      </c>
      <c r="G816" s="20" t="inlineStr">
        <is>
          <t>PIPE B36.10/36.19 A333 6-SMLS PE PE</t>
        </is>
      </c>
      <c r="H816" s="20" t="inlineStr">
        <is>
          <t>A333</t>
        </is>
      </c>
      <c r="I816" s="22" t="n">
        <v>1</v>
      </c>
      <c r="J816" s="21" t="inlineStr">
        <is>
          <t>XS</t>
        </is>
      </c>
      <c r="K816" s="20" t="inlineStr">
        <is>
          <t>I63649231</t>
        </is>
      </c>
      <c r="L816" s="22" t="n">
        <v>0.1</v>
      </c>
      <c r="M816" s="20">
        <f>IFERROR(LEFT(B816,SEARCH("_Rev",B816)-1),B816)</f>
        <v/>
      </c>
      <c r="N816" s="20">
        <f>IF(B816="","",IF(ISNUMBER(C816),IF(COUNTIFS($M$3:$M$1026,M816,$C$3:$C$1026,"&gt;"&amp;C816)=0,"CURRENT","SUPERSEDED"),"CURRENT"))</f>
        <v/>
      </c>
      <c r="O816" s="19" t="n"/>
    </row>
    <row r="817">
      <c r="A817" s="19" t="n"/>
      <c r="B817" s="20" t="inlineStr">
        <is>
          <t>4503-XH-DL-8702-8770-5079-FL-01_Rev0</t>
        </is>
      </c>
      <c r="C817" s="21" t="n">
        <v>0</v>
      </c>
      <c r="D817" s="21" t="inlineStr">
        <is>
          <t>20.08.2026</t>
        </is>
      </c>
      <c r="E817" s="20" t="inlineStr">
        <is>
          <t>IFC - ISSUED FOR CONSTRUCTION</t>
        </is>
      </c>
      <c r="F817" s="21" t="n">
        <v>8702</v>
      </c>
      <c r="G817" s="20" t="inlineStr">
        <is>
          <t>PIPE B36.10/36.19 A333 6-SMLS BE BE</t>
        </is>
      </c>
      <c r="H817" s="20" t="inlineStr">
        <is>
          <t>A333</t>
        </is>
      </c>
      <c r="I817" s="22" t="n">
        <v>6</v>
      </c>
      <c r="J817" s="21" t="inlineStr">
        <is>
          <t>STD</t>
        </is>
      </c>
      <c r="K817" s="20" t="inlineStr">
        <is>
          <t>I63649156</t>
        </is>
      </c>
      <c r="L817" s="22" t="n">
        <v>14</v>
      </c>
      <c r="M817" s="20">
        <f>IFERROR(LEFT(B817,SEARCH("_Rev",B817)-1),B817)</f>
        <v/>
      </c>
      <c r="N817" s="20">
        <f>IF(B817="","",IF(ISNUMBER(C817),IF(COUNTIFS($M$3:$M$1026,M817,$C$3:$C$1026,"&gt;"&amp;C817)=0,"CURRENT","SUPERSEDED"),"CURRENT"))</f>
        <v/>
      </c>
      <c r="O817" s="19" t="n"/>
    </row>
    <row r="818">
      <c r="A818" s="19" t="n"/>
      <c r="B818" s="20" t="inlineStr">
        <is>
          <t>4503-XH-DL-8702-8770-5079-FL-01_Rev0</t>
        </is>
      </c>
      <c r="C818" s="21" t="n">
        <v>0</v>
      </c>
      <c r="D818" s="21" t="inlineStr">
        <is>
          <t>20.08.2026</t>
        </is>
      </c>
      <c r="E818" s="20" t="inlineStr">
        <is>
          <t>IFC - ISSUED FOR CONSTRUCTION</t>
        </is>
      </c>
      <c r="F818" s="21" t="n">
        <v>8702</v>
      </c>
      <c r="G818" s="20" t="inlineStr">
        <is>
          <t>PIPE B36.10/36.19 A333 6-SMLS PE PE</t>
        </is>
      </c>
      <c r="H818" s="20" t="inlineStr">
        <is>
          <t>A333</t>
        </is>
      </c>
      <c r="I818" s="22" t="n">
        <v>1</v>
      </c>
      <c r="J818" s="21" t="inlineStr">
        <is>
          <t>XS</t>
        </is>
      </c>
      <c r="K818" s="20" t="inlineStr">
        <is>
          <t>I63649231</t>
        </is>
      </c>
      <c r="L818" s="22" t="n">
        <v>0.1</v>
      </c>
      <c r="M818" s="20">
        <f>IFERROR(LEFT(B818,SEARCH("_Rev",B818)-1),B818)</f>
        <v/>
      </c>
      <c r="N818" s="20">
        <f>IF(B818="","",IF(ISNUMBER(C818),IF(COUNTIFS($M$3:$M$1026,M818,$C$3:$C$1026,"&gt;"&amp;C818)=0,"CURRENT","SUPERSEDED"),"CURRENT"))</f>
        <v/>
      </c>
      <c r="O818" s="19" t="n"/>
    </row>
    <row r="819">
      <c r="A819" s="19" t="n"/>
      <c r="B819" s="20" t="inlineStr">
        <is>
          <t>4503-XH-DL-8702-8770-5080-FL-01_Rev0</t>
        </is>
      </c>
      <c r="C819" s="21" t="n">
        <v>0</v>
      </c>
      <c r="D819" s="21" t="inlineStr">
        <is>
          <t>20.08.2026</t>
        </is>
      </c>
      <c r="E819" s="20" t="inlineStr">
        <is>
          <t>IFC - ISSUED FOR CONSTRUCTION</t>
        </is>
      </c>
      <c r="F819" s="21" t="n">
        <v>8702</v>
      </c>
      <c r="G819" s="20" t="inlineStr">
        <is>
          <t>PIPE B36.10/36.19 A333 6-SMLS BE BE</t>
        </is>
      </c>
      <c r="H819" s="20" t="inlineStr">
        <is>
          <t>A333</t>
        </is>
      </c>
      <c r="I819" s="22" t="n">
        <v>6</v>
      </c>
      <c r="J819" s="21" t="inlineStr">
        <is>
          <t>STD</t>
        </is>
      </c>
      <c r="K819" s="20" t="inlineStr">
        <is>
          <t>I63649156</t>
        </is>
      </c>
      <c r="L819" s="22" t="n">
        <v>12.6</v>
      </c>
      <c r="M819" s="20">
        <f>IFERROR(LEFT(B819,SEARCH("_Rev",B819)-1),B819)</f>
        <v/>
      </c>
      <c r="N819" s="20">
        <f>IF(B819="","",IF(ISNUMBER(C819),IF(COUNTIFS($M$3:$M$1026,M819,$C$3:$C$1026,"&gt;"&amp;C819)=0,"CURRENT","SUPERSEDED"),"CURRENT"))</f>
        <v/>
      </c>
      <c r="O819" s="19" t="n"/>
    </row>
    <row r="820">
      <c r="A820" s="19" t="n"/>
      <c r="B820" s="20" t="inlineStr">
        <is>
          <t>4503-XH-DL-8702-8770-5080-FL-01_Rev0</t>
        </is>
      </c>
      <c r="C820" s="21" t="n">
        <v>0</v>
      </c>
      <c r="D820" s="21" t="inlineStr">
        <is>
          <t>20.08.2026</t>
        </is>
      </c>
      <c r="E820" s="20" t="inlineStr">
        <is>
          <t>IFC - ISSUED FOR CONSTRUCTION</t>
        </is>
      </c>
      <c r="F820" s="21" t="n">
        <v>8702</v>
      </c>
      <c r="G820" s="20" t="inlineStr">
        <is>
          <t>PIPE B36.10/36.19 A333 6-SMLS PE PE</t>
        </is>
      </c>
      <c r="H820" s="20" t="inlineStr">
        <is>
          <t>A333</t>
        </is>
      </c>
      <c r="I820" s="22" t="n">
        <v>1</v>
      </c>
      <c r="J820" s="21" t="inlineStr">
        <is>
          <t>XS</t>
        </is>
      </c>
      <c r="K820" s="20" t="inlineStr">
        <is>
          <t>I63649231</t>
        </is>
      </c>
      <c r="L820" s="22" t="n">
        <v>0.1</v>
      </c>
      <c r="M820" s="20">
        <f>IFERROR(LEFT(B820,SEARCH("_Rev",B820)-1),B820)</f>
        <v/>
      </c>
      <c r="N820" s="20">
        <f>IF(B820="","",IF(ISNUMBER(C820),IF(COUNTIFS($M$3:$M$1026,M820,$C$3:$C$1026,"&gt;"&amp;C820)=0,"CURRENT","SUPERSEDED"),"CURRENT"))</f>
        <v/>
      </c>
      <c r="O820" s="19" t="n"/>
    </row>
    <row r="821">
      <c r="A821" s="19" t="n"/>
      <c r="B821" s="20" t="inlineStr">
        <is>
          <t>4503-XH-DL-8702-8770-5147-FL-01_Rev0</t>
        </is>
      </c>
      <c r="C821" s="21" t="n">
        <v>0</v>
      </c>
      <c r="D821" s="21" t="inlineStr">
        <is>
          <t>20.08.2026</t>
        </is>
      </c>
      <c r="E821" s="20" t="inlineStr">
        <is>
          <t>IFC - ISSUED FOR CONSTRUCTION</t>
        </is>
      </c>
      <c r="F821" s="21" t="n">
        <v>8702</v>
      </c>
      <c r="G821" s="20" t="inlineStr">
        <is>
          <t>PIPE B36.10/36.19 A333 6-SMLS BE BE</t>
        </is>
      </c>
      <c r="H821" s="20" t="inlineStr">
        <is>
          <t>A333</t>
        </is>
      </c>
      <c r="I821" s="22" t="n">
        <v>6</v>
      </c>
      <c r="J821" s="21" t="inlineStr">
        <is>
          <t>STD</t>
        </is>
      </c>
      <c r="K821" s="20" t="inlineStr">
        <is>
          <t>I63649156</t>
        </is>
      </c>
      <c r="L821" s="22" t="n">
        <v>4.2</v>
      </c>
      <c r="M821" s="20">
        <f>IFERROR(LEFT(B821,SEARCH("_Rev",B821)-1),B821)</f>
        <v/>
      </c>
      <c r="N821" s="20">
        <f>IF(B821="","",IF(ISNUMBER(C821),IF(COUNTIFS($M$3:$M$1026,M821,$C$3:$C$1026,"&gt;"&amp;C821)=0,"CURRENT","SUPERSEDED"),"CURRENT"))</f>
        <v/>
      </c>
      <c r="O821" s="19" t="n"/>
    </row>
    <row r="822">
      <c r="A822" s="19" t="n"/>
      <c r="B822" s="20" t="inlineStr">
        <is>
          <t>4503-XH-DL-8702-8770-5147-FL-01_Rev0</t>
        </is>
      </c>
      <c r="C822" s="21" t="n">
        <v>0</v>
      </c>
      <c r="D822" s="21" t="inlineStr">
        <is>
          <t>20.08.2026</t>
        </is>
      </c>
      <c r="E822" s="20" t="inlineStr">
        <is>
          <t>IFC - ISSUED FOR CONSTRUCTION</t>
        </is>
      </c>
      <c r="F822" s="21" t="n">
        <v>8702</v>
      </c>
      <c r="G822" s="20" t="inlineStr">
        <is>
          <t>PIPE B36.10/36.19 A333 6-SMLS PE PE</t>
        </is>
      </c>
      <c r="H822" s="20" t="inlineStr">
        <is>
          <t>A333</t>
        </is>
      </c>
      <c r="I822" s="22" t="n">
        <v>1</v>
      </c>
      <c r="J822" s="21" t="inlineStr">
        <is>
          <t>XS</t>
        </is>
      </c>
      <c r="K822" s="20" t="inlineStr">
        <is>
          <t>I63649231</t>
        </is>
      </c>
      <c r="L822" s="22" t="n">
        <v>0.1</v>
      </c>
      <c r="M822" s="20">
        <f>IFERROR(LEFT(B822,SEARCH("_Rev",B822)-1),B822)</f>
        <v/>
      </c>
      <c r="N822" s="20">
        <f>IF(B822="","",IF(ISNUMBER(C822),IF(COUNTIFS($M$3:$M$1026,M822,$C$3:$C$1026,"&gt;"&amp;C822)=0,"CURRENT","SUPERSEDED"),"CURRENT"))</f>
        <v/>
      </c>
      <c r="O822" s="19" t="n"/>
    </row>
    <row r="823">
      <c r="A823" s="19" t="n"/>
      <c r="B823" s="20" t="inlineStr">
        <is>
          <t>4503-XH-DL-8702-8770-5148-FL-01_Rev0</t>
        </is>
      </c>
      <c r="C823" s="21" t="n">
        <v>0</v>
      </c>
      <c r="D823" s="21" t="inlineStr">
        <is>
          <t>20.08.2026</t>
        </is>
      </c>
      <c r="E823" s="20" t="inlineStr">
        <is>
          <t>IFC - ISSUED FOR CONSTRUCTION</t>
        </is>
      </c>
      <c r="F823" s="21" t="n">
        <v>8702</v>
      </c>
      <c r="G823" s="20" t="inlineStr">
        <is>
          <t>PIPE B36.10/36.19 A333 6-SMLS BE BE</t>
        </is>
      </c>
      <c r="H823" s="20" t="inlineStr">
        <is>
          <t>A333</t>
        </is>
      </c>
      <c r="I823" s="22" t="n">
        <v>6</v>
      </c>
      <c r="J823" s="21" t="inlineStr">
        <is>
          <t>STD</t>
        </is>
      </c>
      <c r="K823" s="20" t="inlineStr">
        <is>
          <t>I63649156</t>
        </is>
      </c>
      <c r="L823" s="22" t="n">
        <v>4.3</v>
      </c>
      <c r="M823" s="20">
        <f>IFERROR(LEFT(B823,SEARCH("_Rev",B823)-1),B823)</f>
        <v/>
      </c>
      <c r="N823" s="20">
        <f>IF(B823="","",IF(ISNUMBER(C823),IF(COUNTIFS($M$3:$M$1026,M823,$C$3:$C$1026,"&gt;"&amp;C823)=0,"CURRENT","SUPERSEDED"),"CURRENT"))</f>
        <v/>
      </c>
      <c r="O823" s="19" t="n"/>
    </row>
    <row r="824">
      <c r="A824" s="19" t="n"/>
      <c r="B824" s="20" t="inlineStr">
        <is>
          <t>4503-XH-DL-8702-8770-5148-FL-01_Rev0</t>
        </is>
      </c>
      <c r="C824" s="21" t="n">
        <v>0</v>
      </c>
      <c r="D824" s="21" t="inlineStr">
        <is>
          <t>20.08.2026</t>
        </is>
      </c>
      <c r="E824" s="20" t="inlineStr">
        <is>
          <t>IFC - ISSUED FOR CONSTRUCTION</t>
        </is>
      </c>
      <c r="F824" s="21" t="n">
        <v>8702</v>
      </c>
      <c r="G824" s="20" t="inlineStr">
        <is>
          <t>PIPE B36.10/36.19 A333 6-SMLS PE PE</t>
        </is>
      </c>
      <c r="H824" s="20" t="inlineStr">
        <is>
          <t>A333</t>
        </is>
      </c>
      <c r="I824" s="22" t="n">
        <v>1</v>
      </c>
      <c r="J824" s="21" t="inlineStr">
        <is>
          <t>XS</t>
        </is>
      </c>
      <c r="K824" s="20" t="inlineStr">
        <is>
          <t>I63649231</t>
        </is>
      </c>
      <c r="L824" s="22" t="n">
        <v>0.1</v>
      </c>
      <c r="M824" s="20">
        <f>IFERROR(LEFT(B824,SEARCH("_Rev",B824)-1),B824)</f>
        <v/>
      </c>
      <c r="N824" s="20">
        <f>IF(B824="","",IF(ISNUMBER(C824),IF(COUNTIFS($M$3:$M$1026,M824,$C$3:$C$1026,"&gt;"&amp;C824)=0,"CURRENT","SUPERSEDED"),"CURRENT"))</f>
        <v/>
      </c>
      <c r="O824" s="19" t="n"/>
    </row>
    <row r="825">
      <c r="A825" s="19" t="n"/>
      <c r="B825" s="20" t="inlineStr">
        <is>
          <t>4503-XH-DL-8702-8770-5149-FL-01_Rev0</t>
        </is>
      </c>
      <c r="C825" s="21" t="n">
        <v>0</v>
      </c>
      <c r="D825" s="21" t="inlineStr">
        <is>
          <t>20.08.2026</t>
        </is>
      </c>
      <c r="E825" s="20" t="inlineStr">
        <is>
          <t>IFC - ISSUED FOR CONSTRUCTION</t>
        </is>
      </c>
      <c r="F825" s="21" t="n">
        <v>8702</v>
      </c>
      <c r="G825" s="20" t="inlineStr">
        <is>
          <t>PIPE B36.10/36.19 A333 6-SMLS BE BE</t>
        </is>
      </c>
      <c r="H825" s="20" t="inlineStr">
        <is>
          <t>A333</t>
        </is>
      </c>
      <c r="I825" s="22" t="n">
        <v>6</v>
      </c>
      <c r="J825" s="21" t="inlineStr">
        <is>
          <t>STD</t>
        </is>
      </c>
      <c r="K825" s="20" t="inlineStr">
        <is>
          <t>I63649156</t>
        </is>
      </c>
      <c r="L825" s="22" t="n">
        <v>4.2</v>
      </c>
      <c r="M825" s="20">
        <f>IFERROR(LEFT(B825,SEARCH("_Rev",B825)-1),B825)</f>
        <v/>
      </c>
      <c r="N825" s="20">
        <f>IF(B825="","",IF(ISNUMBER(C825),IF(COUNTIFS($M$3:$M$1026,M825,$C$3:$C$1026,"&gt;"&amp;C825)=0,"CURRENT","SUPERSEDED"),"CURRENT"))</f>
        <v/>
      </c>
      <c r="O825" s="19" t="n"/>
    </row>
    <row r="826">
      <c r="A826" s="19" t="n"/>
      <c r="B826" s="20" t="inlineStr">
        <is>
          <t>4503-XH-DL-8702-8770-5149-FL-01_Rev0</t>
        </is>
      </c>
      <c r="C826" s="21" t="n">
        <v>0</v>
      </c>
      <c r="D826" s="21" t="inlineStr">
        <is>
          <t>20.08.2026</t>
        </is>
      </c>
      <c r="E826" s="20" t="inlineStr">
        <is>
          <t>IFC - ISSUED FOR CONSTRUCTION</t>
        </is>
      </c>
      <c r="F826" s="21" t="n">
        <v>8702</v>
      </c>
      <c r="G826" s="20" t="inlineStr">
        <is>
          <t>PIPE B36.10/36.19 A333 6-SMLS PE PE</t>
        </is>
      </c>
      <c r="H826" s="20" t="inlineStr">
        <is>
          <t>A333</t>
        </is>
      </c>
      <c r="I826" s="22" t="n">
        <v>1</v>
      </c>
      <c r="J826" s="21" t="inlineStr">
        <is>
          <t>XS</t>
        </is>
      </c>
      <c r="K826" s="20" t="inlineStr">
        <is>
          <t>I63649231</t>
        </is>
      </c>
      <c r="L826" s="22" t="n">
        <v>0.1</v>
      </c>
      <c r="M826" s="20">
        <f>IFERROR(LEFT(B826,SEARCH("_Rev",B826)-1),B826)</f>
        <v/>
      </c>
      <c r="N826" s="20">
        <f>IF(B826="","",IF(ISNUMBER(C826),IF(COUNTIFS($M$3:$M$1026,M826,$C$3:$C$1026,"&gt;"&amp;C826)=0,"CURRENT","SUPERSEDED"),"CURRENT"))</f>
        <v/>
      </c>
      <c r="O826" s="19" t="n"/>
    </row>
    <row r="827">
      <c r="A827" s="19" t="n"/>
      <c r="B827" s="20" t="inlineStr">
        <is>
          <t>4503-XH-DL-8702-8770-5150-FL-01_Rev0</t>
        </is>
      </c>
      <c r="C827" s="21" t="n">
        <v>0</v>
      </c>
      <c r="D827" s="21" t="inlineStr">
        <is>
          <t>20.08.2026</t>
        </is>
      </c>
      <c r="E827" s="20" t="inlineStr">
        <is>
          <t>IFC - ISSUED FOR CONSTRUCTION</t>
        </is>
      </c>
      <c r="F827" s="21" t="n">
        <v>8702</v>
      </c>
      <c r="G827" s="20" t="inlineStr">
        <is>
          <t>PIPE B36.10/36.19 A333 6-SMLS BE BE</t>
        </is>
      </c>
      <c r="H827" s="20" t="inlineStr">
        <is>
          <t>A333</t>
        </is>
      </c>
      <c r="I827" s="22" t="n">
        <v>6</v>
      </c>
      <c r="J827" s="21" t="inlineStr">
        <is>
          <t>STD</t>
        </is>
      </c>
      <c r="K827" s="20" t="inlineStr">
        <is>
          <t>I63649156</t>
        </is>
      </c>
      <c r="L827" s="22" t="n">
        <v>4.3</v>
      </c>
      <c r="M827" s="20">
        <f>IFERROR(LEFT(B827,SEARCH("_Rev",B827)-1),B827)</f>
        <v/>
      </c>
      <c r="N827" s="20">
        <f>IF(B827="","",IF(ISNUMBER(C827),IF(COUNTIFS($M$3:$M$1026,M827,$C$3:$C$1026,"&gt;"&amp;C827)=0,"CURRENT","SUPERSEDED"),"CURRENT"))</f>
        <v/>
      </c>
      <c r="O827" s="19" t="n"/>
    </row>
    <row r="828">
      <c r="A828" s="19" t="n"/>
      <c r="B828" s="20" t="inlineStr">
        <is>
          <t>4503-XH-DL-8702-8770-5150-FL-01_Rev0</t>
        </is>
      </c>
      <c r="C828" s="21" t="n">
        <v>0</v>
      </c>
      <c r="D828" s="21" t="inlineStr">
        <is>
          <t>20.08.2026</t>
        </is>
      </c>
      <c r="E828" s="20" t="inlineStr">
        <is>
          <t>IFC - ISSUED FOR CONSTRUCTION</t>
        </is>
      </c>
      <c r="F828" s="21" t="n">
        <v>8702</v>
      </c>
      <c r="G828" s="20" t="inlineStr">
        <is>
          <t>PIPE B36.10/36.19 A333 6-SMLS PE PE</t>
        </is>
      </c>
      <c r="H828" s="20" t="inlineStr">
        <is>
          <t>A333</t>
        </is>
      </c>
      <c r="I828" s="22" t="n">
        <v>1</v>
      </c>
      <c r="J828" s="21" t="inlineStr">
        <is>
          <t>XS</t>
        </is>
      </c>
      <c r="K828" s="20" t="inlineStr">
        <is>
          <t>I63649231</t>
        </is>
      </c>
      <c r="L828" s="22" t="n">
        <v>0.1</v>
      </c>
      <c r="M828" s="20">
        <f>IFERROR(LEFT(B828,SEARCH("_Rev",B828)-1),B828)</f>
        <v/>
      </c>
      <c r="N828" s="20">
        <f>IF(B828="","",IF(ISNUMBER(C828),IF(COUNTIFS($M$3:$M$1026,M828,$C$3:$C$1026,"&gt;"&amp;C828)=0,"CURRENT","SUPERSEDED"),"CURRENT"))</f>
        <v/>
      </c>
      <c r="O828" s="19" t="n"/>
    </row>
    <row r="829">
      <c r="A829" s="19" t="n"/>
      <c r="B829" s="20" t="inlineStr">
        <is>
          <t>4503-XH-DL-8702-8770-5151-FL-01_Rev0</t>
        </is>
      </c>
      <c r="C829" s="21" t="n">
        <v>0</v>
      </c>
      <c r="D829" s="21" t="inlineStr">
        <is>
          <t>20.08.2026</t>
        </is>
      </c>
      <c r="E829" s="20" t="inlineStr">
        <is>
          <t>IFC - ISSUED FOR CONSTRUCTION</t>
        </is>
      </c>
      <c r="F829" s="21" t="n">
        <v>8702</v>
      </c>
      <c r="G829" s="20" t="inlineStr">
        <is>
          <t>PIPE B36.10/36.19 A333 6-SMLS BE BE</t>
        </is>
      </c>
      <c r="H829" s="20" t="inlineStr">
        <is>
          <t>A333</t>
        </is>
      </c>
      <c r="I829" s="22" t="n">
        <v>6</v>
      </c>
      <c r="J829" s="21" t="inlineStr">
        <is>
          <t>STD</t>
        </is>
      </c>
      <c r="K829" s="20" t="inlineStr">
        <is>
          <t>I63649156</t>
        </is>
      </c>
      <c r="L829" s="22" t="n">
        <v>3.4</v>
      </c>
      <c r="M829" s="20">
        <f>IFERROR(LEFT(B829,SEARCH("_Rev",B829)-1),B829)</f>
        <v/>
      </c>
      <c r="N829" s="20">
        <f>IF(B829="","",IF(ISNUMBER(C829),IF(COUNTIFS($M$3:$M$1026,M829,$C$3:$C$1026,"&gt;"&amp;C829)=0,"CURRENT","SUPERSEDED"),"CURRENT"))</f>
        <v/>
      </c>
      <c r="O829" s="19" t="n"/>
    </row>
    <row r="830">
      <c r="A830" s="19" t="n"/>
      <c r="B830" s="20" t="inlineStr">
        <is>
          <t>4503-XH-DL-8702-8770-5151-FL-01_Rev0</t>
        </is>
      </c>
      <c r="C830" s="21" t="n">
        <v>0</v>
      </c>
      <c r="D830" s="21" t="inlineStr">
        <is>
          <t>20.08.2026</t>
        </is>
      </c>
      <c r="E830" s="20" t="inlineStr">
        <is>
          <t>IFC - ISSUED FOR CONSTRUCTION</t>
        </is>
      </c>
      <c r="F830" s="21" t="n">
        <v>8702</v>
      </c>
      <c r="G830" s="20" t="inlineStr">
        <is>
          <t>PIPE B36.10/36.19 A333 6-SMLS PE PE</t>
        </is>
      </c>
      <c r="H830" s="20" t="inlineStr">
        <is>
          <t>A333</t>
        </is>
      </c>
      <c r="I830" s="22" t="n">
        <v>1</v>
      </c>
      <c r="J830" s="21" t="inlineStr">
        <is>
          <t>XS</t>
        </is>
      </c>
      <c r="K830" s="20" t="inlineStr">
        <is>
          <t>I63649231</t>
        </is>
      </c>
      <c r="L830" s="22" t="n">
        <v>0.1</v>
      </c>
      <c r="M830" s="20">
        <f>IFERROR(LEFT(B830,SEARCH("_Rev",B830)-1),B830)</f>
        <v/>
      </c>
      <c r="N830" s="20">
        <f>IF(B830="","",IF(ISNUMBER(C830),IF(COUNTIFS($M$3:$M$1026,M830,$C$3:$C$1026,"&gt;"&amp;C830)=0,"CURRENT","SUPERSEDED"),"CURRENT"))</f>
        <v/>
      </c>
      <c r="O830" s="19" t="n"/>
    </row>
    <row r="831">
      <c r="A831" s="19" t="n"/>
      <c r="B831" s="20" t="inlineStr">
        <is>
          <t>4503-XH-DL-8702-8770-5152-FL-01_Rev0</t>
        </is>
      </c>
      <c r="C831" s="21" t="n">
        <v>0</v>
      </c>
      <c r="D831" s="21" t="inlineStr">
        <is>
          <t>20.08.2026</t>
        </is>
      </c>
      <c r="E831" s="20" t="inlineStr">
        <is>
          <t>IFC - ISSUED FOR CONSTRUCTION</t>
        </is>
      </c>
      <c r="F831" s="21" t="n">
        <v>8702</v>
      </c>
      <c r="G831" s="20" t="inlineStr">
        <is>
          <t>PIPE B36.10/36.19 A333 6-SMLS BE BE</t>
        </is>
      </c>
      <c r="H831" s="20" t="inlineStr">
        <is>
          <t>A333</t>
        </is>
      </c>
      <c r="I831" s="22" t="n">
        <v>6</v>
      </c>
      <c r="J831" s="21" t="inlineStr">
        <is>
          <t>STD</t>
        </is>
      </c>
      <c r="K831" s="20" t="inlineStr">
        <is>
          <t>I63649156</t>
        </is>
      </c>
      <c r="L831" s="22" t="n">
        <v>3.4</v>
      </c>
      <c r="M831" s="20">
        <f>IFERROR(LEFT(B831,SEARCH("_Rev",B831)-1),B831)</f>
        <v/>
      </c>
      <c r="N831" s="20">
        <f>IF(B831="","",IF(ISNUMBER(C831),IF(COUNTIFS($M$3:$M$1026,M831,$C$3:$C$1026,"&gt;"&amp;C831)=0,"CURRENT","SUPERSEDED"),"CURRENT"))</f>
        <v/>
      </c>
      <c r="O831" s="19" t="n"/>
    </row>
    <row r="832">
      <c r="A832" s="19" t="n"/>
      <c r="B832" s="20" t="inlineStr">
        <is>
          <t>4503-XH-DL-8702-8770-5152-FL-01_Rev0</t>
        </is>
      </c>
      <c r="C832" s="21" t="n">
        <v>0</v>
      </c>
      <c r="D832" s="21" t="inlineStr">
        <is>
          <t>20.08.2026</t>
        </is>
      </c>
      <c r="E832" s="20" t="inlineStr">
        <is>
          <t>IFC - ISSUED FOR CONSTRUCTION</t>
        </is>
      </c>
      <c r="F832" s="21" t="n">
        <v>8702</v>
      </c>
      <c r="G832" s="20" t="inlineStr">
        <is>
          <t>PIPE B36.10/36.19 A333 6-SMLS PE PE</t>
        </is>
      </c>
      <c r="H832" s="20" t="inlineStr">
        <is>
          <t>A333</t>
        </is>
      </c>
      <c r="I832" s="22" t="n">
        <v>1</v>
      </c>
      <c r="J832" s="21" t="inlineStr">
        <is>
          <t>XS</t>
        </is>
      </c>
      <c r="K832" s="20" t="inlineStr">
        <is>
          <t>I63649231</t>
        </is>
      </c>
      <c r="L832" s="22" t="n">
        <v>0.1</v>
      </c>
      <c r="M832" s="20">
        <f>IFERROR(LEFT(B832,SEARCH("_Rev",B832)-1),B832)</f>
        <v/>
      </c>
      <c r="N832" s="20">
        <f>IF(B832="","",IF(ISNUMBER(C832),IF(COUNTIFS($M$3:$M$1026,M832,$C$3:$C$1026,"&gt;"&amp;C832)=0,"CURRENT","SUPERSEDED"),"CURRENT"))</f>
        <v/>
      </c>
      <c r="O832" s="19" t="n"/>
    </row>
    <row r="833">
      <c r="A833" s="19" t="n"/>
      <c r="B833" s="20" t="inlineStr">
        <is>
          <t>4503-XH-DL-8702-8777-5039-CL1-01_Rev0</t>
        </is>
      </c>
      <c r="C833" s="21" t="n">
        <v>0</v>
      </c>
      <c r="D833" s="21" t="inlineStr">
        <is>
          <t>20.08.2026</t>
        </is>
      </c>
      <c r="E833" s="20" t="inlineStr">
        <is>
          <t>IFC - ISSUED FOR CONSTRUCTION</t>
        </is>
      </c>
      <c r="F833" s="21" t="n">
        <v>8702</v>
      </c>
      <c r="G833" s="20" t="inlineStr">
        <is>
          <t>PIPE B36.10/36.19 A312 TP304/304L SMLS DUAL GRADE BE BE</t>
        </is>
      </c>
      <c r="H833" s="20" t="inlineStr">
        <is>
          <t>A312</t>
        </is>
      </c>
      <c r="I833" s="22" t="inlineStr">
        <is>
          <t>6</t>
        </is>
      </c>
      <c r="J833" s="21" t="inlineStr">
        <is>
          <t>- Sch. 40S</t>
        </is>
      </c>
      <c r="K833" s="20" t="inlineStr">
        <is>
          <t>I63243560</t>
        </is>
      </c>
      <c r="L833" s="22" t="n">
        <v>7.7</v>
      </c>
      <c r="M833" s="20">
        <f>IFERROR(LEFT(B833,SEARCH("_Rev",B833)-1),B833)</f>
        <v/>
      </c>
      <c r="N833" s="20">
        <f>IF(B833="","",IF(ISNUMBER(C833),IF(COUNTIFS($M$3:$M$1026,M833,$C$3:$C$1026,"&gt;"&amp;C833)=0,"CURRENT","SUPERSEDED"),"CURRENT"))</f>
        <v/>
      </c>
      <c r="O833" s="19" t="n"/>
    </row>
    <row r="834">
      <c r="A834" s="19" t="n"/>
      <c r="B834" s="20" t="inlineStr">
        <is>
          <t>4503-XH-DL-8702-8777-5039-CL1-01_Rev0</t>
        </is>
      </c>
      <c r="C834" s="21" t="n">
        <v>0</v>
      </c>
      <c r="D834" s="21" t="inlineStr">
        <is>
          <t>20.08.2026</t>
        </is>
      </c>
      <c r="E834" s="20" t="inlineStr">
        <is>
          <t>IFC - ISSUED FOR CONSTRUCTION</t>
        </is>
      </c>
      <c r="F834" s="21" t="n">
        <v>8702</v>
      </c>
      <c r="G834" s="20" t="inlineStr">
        <is>
          <t>PIPE B36.10/36.19 A312 TP304/304L SMLS DUAL GRADE BE BE</t>
        </is>
      </c>
      <c r="H834" s="20" t="inlineStr">
        <is>
          <t>A312</t>
        </is>
      </c>
      <c r="I834" s="22" t="inlineStr">
        <is>
          <t>2</t>
        </is>
      </c>
      <c r="J834" s="21" t="inlineStr">
        <is>
          <t>- Sch. 80S</t>
        </is>
      </c>
      <c r="K834" s="20" t="inlineStr">
        <is>
          <t>I65865374</t>
        </is>
      </c>
      <c r="L834" s="22" t="n">
        <v>0.4</v>
      </c>
      <c r="M834" s="20">
        <f>IFERROR(LEFT(B834,SEARCH("_Rev",B834)-1),B834)</f>
        <v/>
      </c>
      <c r="N834" s="20">
        <f>IF(B834="","",IF(ISNUMBER(C834),IF(COUNTIFS($M$3:$M$1026,M834,$C$3:$C$1026,"&gt;"&amp;C834)=0,"CURRENT","SUPERSEDED"),"CURRENT"))</f>
        <v/>
      </c>
      <c r="O834" s="19" t="n"/>
    </row>
    <row r="835">
      <c r="A835" s="19" t="n"/>
      <c r="B835" s="20" t="inlineStr">
        <is>
          <t>4503-XH-DL-8706-8779-5002-LHCG-01_Rev0</t>
        </is>
      </c>
      <c r="C835" s="21" t="n">
        <v>0</v>
      </c>
      <c r="D835" s="21" t="inlineStr">
        <is>
          <t>20.08.2026</t>
        </is>
      </c>
      <c r="E835" s="20" t="inlineStr">
        <is>
          <t>IFC-ISSUED FOR CONSTRUCTION</t>
        </is>
      </c>
      <c r="F835" s="21" t="n">
        <v>8706</v>
      </c>
      <c r="G835" s="20" t="inlineStr">
        <is>
          <t>PIPE B36.10/36.19 A333 6-SMLS BE BE</t>
        </is>
      </c>
      <c r="H835" s="20" t="inlineStr">
        <is>
          <t>A333</t>
        </is>
      </c>
      <c r="I835" s="22" t="n">
        <v>12</v>
      </c>
      <c r="J835" s="21" t="inlineStr">
        <is>
          <t>STD</t>
        </is>
      </c>
      <c r="K835" s="20" t="inlineStr">
        <is>
          <t>I64955933</t>
        </is>
      </c>
      <c r="L835" s="22" t="n">
        <v>18</v>
      </c>
      <c r="M835" s="20">
        <f>IFERROR(LEFT(B835,SEARCH("_Rev",B835)-1),B835)</f>
        <v/>
      </c>
      <c r="N835" s="20">
        <f>IF(B835="","",IF(ISNUMBER(C835),IF(COUNTIFS($M$3:$M$1026,M835,$C$3:$C$1026,"&gt;"&amp;C835)=0,"CURRENT","SUPERSEDED"),"CURRENT"))</f>
        <v/>
      </c>
      <c r="O835" s="19" t="n"/>
    </row>
    <row r="836">
      <c r="A836" s="19" t="n"/>
      <c r="B836" s="20" t="inlineStr">
        <is>
          <t>4503-XH-DL-8706-8779-5003-LHCG-01_Rev0</t>
        </is>
      </c>
      <c r="C836" s="21" t="n">
        <v>0</v>
      </c>
      <c r="D836" s="21" t="inlineStr">
        <is>
          <t>20.08.2026</t>
        </is>
      </c>
      <c r="E836" s="20" t="inlineStr">
        <is>
          <t>IFC-ISSUED FOR CONSTRUCTION</t>
        </is>
      </c>
      <c r="F836" s="21" t="n">
        <v>8706</v>
      </c>
      <c r="G836" s="20" t="inlineStr">
        <is>
          <t>PIPE B36.10/36.19 A333 6-SMLS BE BE</t>
        </is>
      </c>
      <c r="H836" s="20" t="inlineStr">
        <is>
          <t>A333</t>
        </is>
      </c>
      <c r="I836" s="22" t="n">
        <v>10</v>
      </c>
      <c r="J836" s="21" t="inlineStr">
        <is>
          <t>STD</t>
        </is>
      </c>
      <c r="K836" s="20" t="inlineStr">
        <is>
          <t>I64108754</t>
        </is>
      </c>
      <c r="L836" s="22" t="n">
        <v>16.3</v>
      </c>
      <c r="M836" s="20">
        <f>IFERROR(LEFT(B836,SEARCH("_Rev",B836)-1),B836)</f>
        <v/>
      </c>
      <c r="N836" s="20">
        <f>IF(B836="","",IF(ISNUMBER(C836),IF(COUNTIFS($M$3:$M$1026,M836,$C$3:$C$1026,"&gt;"&amp;C836)=0,"CURRENT","SUPERSEDED"),"CURRENT"))</f>
        <v/>
      </c>
      <c r="O836" s="19" t="n"/>
    </row>
    <row r="837">
      <c r="A837" s="19" t="n"/>
      <c r="B837" s="20" t="inlineStr">
        <is>
          <t>4503-XH-DL-8706-8779-5003-LHCG-01_Rev0</t>
        </is>
      </c>
      <c r="C837" s="21" t="n">
        <v>0</v>
      </c>
      <c r="D837" s="21" t="inlineStr">
        <is>
          <t>20.08.2026</t>
        </is>
      </c>
      <c r="E837" s="20" t="inlineStr">
        <is>
          <t>IFC-ISSUED FOR CONSTRUCTION</t>
        </is>
      </c>
      <c r="F837" s="21" t="n">
        <v>8706</v>
      </c>
      <c r="G837" s="20" t="inlineStr">
        <is>
          <t>PIPE B36.10/36.19 A333 6-SMLS BE BE</t>
        </is>
      </c>
      <c r="H837" s="20" t="inlineStr">
        <is>
          <t>A333</t>
        </is>
      </c>
      <c r="I837" s="22" t="n">
        <v>2</v>
      </c>
      <c r="J837" s="21" t="inlineStr">
        <is>
          <t>XS</t>
        </is>
      </c>
      <c r="K837" s="20" t="inlineStr">
        <is>
          <t>I64108762</t>
        </is>
      </c>
      <c r="L837" s="22" t="n">
        <v>0.1</v>
      </c>
      <c r="M837" s="20">
        <f>IFERROR(LEFT(B837,SEARCH("_Rev",B837)-1),B837)</f>
        <v/>
      </c>
      <c r="N837" s="20">
        <f>IF(B837="","",IF(ISNUMBER(C837),IF(COUNTIFS($M$3:$M$1026,M837,$C$3:$C$1026,"&gt;"&amp;C837)=0,"CURRENT","SUPERSEDED"),"CURRENT"))</f>
        <v/>
      </c>
      <c r="O837" s="19" t="n"/>
    </row>
    <row r="838">
      <c r="A838" s="19" t="n"/>
      <c r="B838" s="20" t="inlineStr">
        <is>
          <t>4503-XH-DL-8706-8779-5003-LHCG-02_Rev0</t>
        </is>
      </c>
      <c r="C838" s="21" t="n">
        <v>0</v>
      </c>
      <c r="D838" s="21" t="inlineStr">
        <is>
          <t>20.08.2026</t>
        </is>
      </c>
      <c r="E838" s="20" t="inlineStr">
        <is>
          <t>IFC-ISSUED FOR CONSTRUCTION</t>
        </is>
      </c>
      <c r="F838" s="21" t="n">
        <v>8706</v>
      </c>
      <c r="G838" s="20" t="inlineStr">
        <is>
          <t>PIPE B36.10/36.19 A333 6-SMLS BE BE</t>
        </is>
      </c>
      <c r="H838" s="20" t="inlineStr">
        <is>
          <t>A333</t>
        </is>
      </c>
      <c r="I838" s="22" t="n">
        <v>10</v>
      </c>
      <c r="J838" s="21" t="inlineStr">
        <is>
          <t>STD</t>
        </is>
      </c>
      <c r="K838" s="20" t="inlineStr">
        <is>
          <t>I64108754</t>
        </is>
      </c>
      <c r="L838" s="22" t="n">
        <v>18.1</v>
      </c>
      <c r="M838" s="20">
        <f>IFERROR(LEFT(B838,SEARCH("_Rev",B838)-1),B838)</f>
        <v/>
      </c>
      <c r="N838" s="20">
        <f>IF(B838="","",IF(ISNUMBER(C838),IF(COUNTIFS($M$3:$M$1026,M838,$C$3:$C$1026,"&gt;"&amp;C838)=0,"CURRENT","SUPERSEDED"),"CURRENT"))</f>
        <v/>
      </c>
      <c r="O838" s="19" t="n"/>
    </row>
    <row r="839">
      <c r="A839" s="19" t="n"/>
      <c r="B839" s="20" t="inlineStr">
        <is>
          <t>4503-XH-DL-8706-8779-5003-LHCG-02_Rev0</t>
        </is>
      </c>
      <c r="C839" s="21" t="n">
        <v>0</v>
      </c>
      <c r="D839" s="21" t="inlineStr">
        <is>
          <t>20.08.2026</t>
        </is>
      </c>
      <c r="E839" s="20" t="inlineStr">
        <is>
          <t>IFC-ISSUED FOR CONSTRUCTION</t>
        </is>
      </c>
      <c r="F839" s="21" t="n">
        <v>8706</v>
      </c>
      <c r="G839" s="20" t="inlineStr">
        <is>
          <t>PIPE B36.10/36.19 A333 6-SMLS BE BE</t>
        </is>
      </c>
      <c r="H839" s="20" t="inlineStr">
        <is>
          <t>A333</t>
        </is>
      </c>
      <c r="I839" s="22" t="n">
        <v>2</v>
      </c>
      <c r="J839" s="21" t="inlineStr">
        <is>
          <t>XS</t>
        </is>
      </c>
      <c r="K839" s="20" t="inlineStr">
        <is>
          <t>I64108762</t>
        </is>
      </c>
      <c r="L839" s="22" t="n">
        <v>0.8</v>
      </c>
      <c r="M839" s="20">
        <f>IFERROR(LEFT(B839,SEARCH("_Rev",B839)-1),B839)</f>
        <v/>
      </c>
      <c r="N839" s="20">
        <f>IF(B839="","",IF(ISNUMBER(C839),IF(COUNTIFS($M$3:$M$1026,M839,$C$3:$C$1026,"&gt;"&amp;C839)=0,"CURRENT","SUPERSEDED"),"CURRENT"))</f>
        <v/>
      </c>
      <c r="O839" s="19" t="n"/>
    </row>
    <row r="840">
      <c r="A840" s="19" t="n"/>
      <c r="B840" s="20" t="inlineStr">
        <is>
          <t>4503-XH-DL-8706-8779-5003-LHCG-02_Rev0</t>
        </is>
      </c>
      <c r="C840" s="21" t="n">
        <v>0</v>
      </c>
      <c r="D840" s="21" t="inlineStr">
        <is>
          <t>20.08.2026</t>
        </is>
      </c>
      <c r="E840" s="20" t="inlineStr">
        <is>
          <t>IFC-ISSUED FOR CONSTRUCTION</t>
        </is>
      </c>
      <c r="F840" s="21" t="n">
        <v>8706</v>
      </c>
      <c r="G840" s="20" t="inlineStr">
        <is>
          <t>PIPE B36.10/36.19 A333 6-SMLS PE PE</t>
        </is>
      </c>
      <c r="H840" s="20" t="inlineStr">
        <is>
          <t>A333</t>
        </is>
      </c>
      <c r="I840" s="22" t="n">
        <v>1</v>
      </c>
      <c r="J840" s="21" t="inlineStr">
        <is>
          <t>XS</t>
        </is>
      </c>
      <c r="K840" s="20" t="inlineStr">
        <is>
          <t>I63649231</t>
        </is>
      </c>
      <c r="L840" s="22" t="n">
        <v>0.3</v>
      </c>
      <c r="M840" s="20">
        <f>IFERROR(LEFT(B840,SEARCH("_Rev",B840)-1),B840)</f>
        <v/>
      </c>
      <c r="N840" s="20">
        <f>IF(B840="","",IF(ISNUMBER(C840),IF(COUNTIFS($M$3:$M$1026,M840,$C$3:$C$1026,"&gt;"&amp;C840)=0,"CURRENT","SUPERSEDED"),"CURRENT"))</f>
        <v/>
      </c>
      <c r="O840" s="19" t="n"/>
    </row>
    <row r="841">
      <c r="A841" s="19" t="n"/>
      <c r="B841" s="20" t="inlineStr">
        <is>
          <t>4503-XH-DL-8706-8779-5003-LHCG-03_Rev0</t>
        </is>
      </c>
      <c r="C841" s="21" t="n">
        <v>0</v>
      </c>
      <c r="D841" s="21" t="inlineStr">
        <is>
          <t>20.08.2026</t>
        </is>
      </c>
      <c r="E841" s="20" t="inlineStr">
        <is>
          <t>IFC-ISSUED FOR CONSTRUCTION</t>
        </is>
      </c>
      <c r="F841" s="21" t="n">
        <v>8706</v>
      </c>
      <c r="G841" s="20" t="inlineStr">
        <is>
          <t>PIPE B36.10/36.19 A333 6-SMLS BE BE</t>
        </is>
      </c>
      <c r="H841" s="20" t="inlineStr">
        <is>
          <t>A333</t>
        </is>
      </c>
      <c r="I841" s="22" t="n">
        <v>10</v>
      </c>
      <c r="J841" s="21" t="inlineStr">
        <is>
          <t>STD</t>
        </is>
      </c>
      <c r="K841" s="20" t="inlineStr">
        <is>
          <t>I64108754</t>
        </is>
      </c>
      <c r="L841" s="22" t="n">
        <v>24.5</v>
      </c>
      <c r="M841" s="20">
        <f>IFERROR(LEFT(B841,SEARCH("_Rev",B841)-1),B841)</f>
        <v/>
      </c>
      <c r="N841" s="20">
        <f>IF(B841="","",IF(ISNUMBER(C841),IF(COUNTIFS($M$3:$M$1026,M841,$C$3:$C$1026,"&gt;"&amp;C841)=0,"CURRENT","SUPERSEDED"),"CURRENT"))</f>
        <v/>
      </c>
      <c r="O841" s="19" t="n"/>
    </row>
    <row r="842">
      <c r="A842" s="19" t="n"/>
      <c r="B842" s="20" t="inlineStr">
        <is>
          <t>4503-XH-DL-8706-8779-5005-LHCG-01_Rev0</t>
        </is>
      </c>
      <c r="C842" s="21" t="n">
        <v>0</v>
      </c>
      <c r="D842" s="21" t="inlineStr">
        <is>
          <t>20.08.2026</t>
        </is>
      </c>
      <c r="E842" s="20" t="inlineStr">
        <is>
          <t>IFC-ISSUED FOR CONSTRUCTION</t>
        </is>
      </c>
      <c r="F842" s="21" t="n">
        <v>8706</v>
      </c>
      <c r="G842" s="20" t="inlineStr">
        <is>
          <t>PIPE B36.10/36.19 A333 6-SMLS BE BE</t>
        </is>
      </c>
      <c r="H842" s="20" t="inlineStr">
        <is>
          <t>A333</t>
        </is>
      </c>
      <c r="I842" s="22" t="n">
        <v>12</v>
      </c>
      <c r="J842" s="21" t="inlineStr">
        <is>
          <t>STD</t>
        </is>
      </c>
      <c r="K842" s="20" t="inlineStr">
        <is>
          <t>I64955933</t>
        </is>
      </c>
      <c r="L842" s="22" t="n">
        <v>14.1</v>
      </c>
      <c r="M842" s="20">
        <f>IFERROR(LEFT(B842,SEARCH("_Rev",B842)-1),B842)</f>
        <v/>
      </c>
      <c r="N842" s="20">
        <f>IF(B842="","",IF(ISNUMBER(C842),IF(COUNTIFS($M$3:$M$1026,M842,$C$3:$C$1026,"&gt;"&amp;C842)=0,"CURRENT","SUPERSEDED"),"CURRENT"))</f>
        <v/>
      </c>
      <c r="O842" s="19" t="n"/>
    </row>
    <row r="843">
      <c r="A843" s="19" t="n"/>
      <c r="B843" s="20" t="inlineStr">
        <is>
          <t>4503-XH-DL-8792-8777-5039-CL1-02_Rev0</t>
        </is>
      </c>
      <c r="C843" s="21" t="n">
        <v>0</v>
      </c>
      <c r="D843" s="21" t="inlineStr">
        <is>
          <t>20.08.2026</t>
        </is>
      </c>
      <c r="E843" s="20" t="inlineStr">
        <is>
          <t>IFC - ISSUED FOR CONSTRUCTION</t>
        </is>
      </c>
      <c r="F843" s="21" t="n">
        <v>8792</v>
      </c>
      <c r="G843" s="20" t="inlineStr">
        <is>
          <t>PIPE B36.10/36.19 A312 TP304/304L SMLS DUAL GRADE BE BE</t>
        </is>
      </c>
      <c r="H843" s="20" t="inlineStr">
        <is>
          <t>A312</t>
        </is>
      </c>
      <c r="I843" s="22" t="inlineStr">
        <is>
          <t>6</t>
        </is>
      </c>
      <c r="J843" s="21" t="inlineStr">
        <is>
          <t>- Sch. 40S</t>
        </is>
      </c>
      <c r="K843" s="20" t="inlineStr">
        <is>
          <t>I63243560</t>
        </is>
      </c>
      <c r="L843" s="22" t="n">
        <v>39.1</v>
      </c>
      <c r="M843" s="20">
        <f>IFERROR(LEFT(B843,SEARCH("_Rev",B843)-1),B843)</f>
        <v/>
      </c>
      <c r="N843" s="20">
        <f>IF(B843="","",IF(ISNUMBER(C843),IF(COUNTIFS($M$3:$M$1026,M843,$C$3:$C$1026,"&gt;"&amp;C843)=0,"CURRENT","SUPERSEDED"),"CURRENT"))</f>
        <v/>
      </c>
      <c r="O843" s="19" t="n"/>
    </row>
    <row r="844">
      <c r="A844" s="19" t="n"/>
      <c r="B844" s="20" t="inlineStr">
        <is>
          <t>4503-XH-DL-8794-8770-5001-FL-01_Rev0</t>
        </is>
      </c>
      <c r="C844" s="21" t="n">
        <v>0</v>
      </c>
      <c r="D844" s="21" t="inlineStr">
        <is>
          <t>20.08.2026</t>
        </is>
      </c>
      <c r="E844" s="20" t="inlineStr">
        <is>
          <t>IFC-ISSUED FOR CONSTRUCTION</t>
        </is>
      </c>
      <c r="F844" s="21" t="n">
        <v>8794</v>
      </c>
      <c r="G844" s="20" t="inlineStr">
        <is>
          <t>PIPE B36.10/36.19 A333 6-SMLS BE BE</t>
        </is>
      </c>
      <c r="H844" s="20" t="inlineStr">
        <is>
          <t>A333</t>
        </is>
      </c>
      <c r="I844" s="22" t="n">
        <v>6</v>
      </c>
      <c r="J844" s="21" t="inlineStr">
        <is>
          <t>STD</t>
        </is>
      </c>
      <c r="K844" s="20" t="inlineStr">
        <is>
          <t>I63649156</t>
        </is>
      </c>
      <c r="L844" s="22" t="n">
        <v>2.4</v>
      </c>
      <c r="M844" s="20">
        <f>IFERROR(LEFT(B844,SEARCH("_Rev",B844)-1),B844)</f>
        <v/>
      </c>
      <c r="N844" s="20">
        <f>IF(B844="","",IF(ISNUMBER(C844),IF(COUNTIFS($M$3:$M$1026,M844,$C$3:$C$1026,"&gt;"&amp;C844)=0,"CURRENT","SUPERSEDED"),"CURRENT"))</f>
        <v/>
      </c>
      <c r="O844" s="19" t="n"/>
    </row>
    <row r="845">
      <c r="A845" s="19" t="n"/>
      <c r="B845" s="20" t="inlineStr">
        <is>
          <t>4503-XH-DL-8794-8770-5003-FL-01_Rev0</t>
        </is>
      </c>
      <c r="C845" s="21" t="n">
        <v>0</v>
      </c>
      <c r="D845" s="21" t="inlineStr">
        <is>
          <t>20.08.2026</t>
        </is>
      </c>
      <c r="E845" s="20" t="inlineStr">
        <is>
          <t>IFC-ISSUED FOR CONSTRUCTION</t>
        </is>
      </c>
      <c r="F845" s="21" t="n">
        <v>8794</v>
      </c>
      <c r="G845" s="20" t="inlineStr">
        <is>
          <t>PIPE B36.10/36.19 A333 6-SMLS BE BE</t>
        </is>
      </c>
      <c r="H845" s="20" t="inlineStr">
        <is>
          <t>A333</t>
        </is>
      </c>
      <c r="I845" s="22" t="n">
        <v>6</v>
      </c>
      <c r="J845" s="21" t="inlineStr">
        <is>
          <t>STD</t>
        </is>
      </c>
      <c r="K845" s="20" t="inlineStr">
        <is>
          <t>I63649156</t>
        </is>
      </c>
      <c r="L845" s="22" t="n">
        <v>2.7</v>
      </c>
      <c r="M845" s="20">
        <f>IFERROR(LEFT(B845,SEARCH("_Rev",B845)-1),B845)</f>
        <v/>
      </c>
      <c r="N845" s="20">
        <f>IF(B845="","",IF(ISNUMBER(C845),IF(COUNTIFS($M$3:$M$1026,M845,$C$3:$C$1026,"&gt;"&amp;C845)=0,"CURRENT","SUPERSEDED"),"CURRENT"))</f>
        <v/>
      </c>
      <c r="O845" s="19" t="n"/>
    </row>
    <row r="846">
      <c r="A846" s="19" t="n"/>
      <c r="B846" s="20" t="inlineStr">
        <is>
          <t>4503-XH-DL-8794-8770-5005-FL-01_Rev0</t>
        </is>
      </c>
      <c r="C846" s="21" t="n">
        <v>0</v>
      </c>
      <c r="D846" s="21" t="inlineStr">
        <is>
          <t>20.08.2026</t>
        </is>
      </c>
      <c r="E846" s="20" t="inlineStr">
        <is>
          <t>IFC-ISSUED FOR CONSTRUCTION</t>
        </is>
      </c>
      <c r="F846" s="21" t="n">
        <v>8794</v>
      </c>
      <c r="G846" s="20" t="inlineStr">
        <is>
          <t>PIPE B36.10/36.19 A333 6-SMLS BE BE</t>
        </is>
      </c>
      <c r="H846" s="20" t="inlineStr">
        <is>
          <t>A333</t>
        </is>
      </c>
      <c r="I846" s="22" t="n">
        <v>6</v>
      </c>
      <c r="J846" s="21" t="inlineStr">
        <is>
          <t>STD</t>
        </is>
      </c>
      <c r="K846" s="20" t="inlineStr">
        <is>
          <t>I63649156</t>
        </is>
      </c>
      <c r="L846" s="22" t="n">
        <v>2.4</v>
      </c>
      <c r="M846" s="20">
        <f>IFERROR(LEFT(B846,SEARCH("_Rev",B846)-1),B846)</f>
        <v/>
      </c>
      <c r="N846" s="20">
        <f>IF(B846="","",IF(ISNUMBER(C846),IF(COUNTIFS($M$3:$M$1026,M846,$C$3:$C$1026,"&gt;"&amp;C846)=0,"CURRENT","SUPERSEDED"),"CURRENT"))</f>
        <v/>
      </c>
      <c r="O846" s="19" t="n"/>
    </row>
    <row r="847">
      <c r="A847" s="19" t="n"/>
      <c r="B847" s="20" t="inlineStr">
        <is>
          <t>4503-XH-DL-8794-8770-5006-FL-01_Rev0</t>
        </is>
      </c>
      <c r="C847" s="21" t="n">
        <v>0</v>
      </c>
      <c r="D847" s="21" t="inlineStr">
        <is>
          <t>20.08.2026</t>
        </is>
      </c>
      <c r="E847" s="20" t="inlineStr">
        <is>
          <t>IFC-ISSUED FOR CONSTRUCTION</t>
        </is>
      </c>
      <c r="F847" s="21" t="n">
        <v>8794</v>
      </c>
      <c r="G847" s="20" t="inlineStr">
        <is>
          <t>PIPE B36.10/36.19 A333 6-SMLS BE BE</t>
        </is>
      </c>
      <c r="H847" s="20" t="inlineStr">
        <is>
          <t>A333</t>
        </is>
      </c>
      <c r="I847" s="22" t="n">
        <v>6</v>
      </c>
      <c r="J847" s="21" t="inlineStr">
        <is>
          <t>STD</t>
        </is>
      </c>
      <c r="K847" s="20" t="inlineStr">
        <is>
          <t>I63649156</t>
        </is>
      </c>
      <c r="L847" s="22" t="n">
        <v>2.3</v>
      </c>
      <c r="M847" s="20">
        <f>IFERROR(LEFT(B847,SEARCH("_Rev",B847)-1),B847)</f>
        <v/>
      </c>
      <c r="N847" s="20">
        <f>IF(B847="","",IF(ISNUMBER(C847),IF(COUNTIFS($M$3:$M$1026,M847,$C$3:$C$1026,"&gt;"&amp;C847)=0,"CURRENT","SUPERSEDED"),"CURRENT"))</f>
        <v/>
      </c>
      <c r="O847" s="19" t="n"/>
    </row>
    <row r="848">
      <c r="A848" s="19" t="n"/>
      <c r="B848" s="20" t="inlineStr">
        <is>
          <t>4503-XH-DL-8794-8770-5052-FL-01_Rev0</t>
        </is>
      </c>
      <c r="C848" s="21" t="n">
        <v>0</v>
      </c>
      <c r="D848" s="21" t="inlineStr">
        <is>
          <t>20.08.2026</t>
        </is>
      </c>
      <c r="E848" s="20" t="inlineStr">
        <is>
          <t>IFC-ISSUED FOR CONSTRUCTION</t>
        </is>
      </c>
      <c r="F848" s="21" t="n">
        <v>8794</v>
      </c>
      <c r="G848" s="20" t="inlineStr">
        <is>
          <t>PIPE B36.10/36.19 A333 6-SMLS BE BE</t>
        </is>
      </c>
      <c r="H848" s="20" t="inlineStr">
        <is>
          <t>A333</t>
        </is>
      </c>
      <c r="I848" s="22" t="n">
        <v>6</v>
      </c>
      <c r="J848" s="21" t="inlineStr">
        <is>
          <t>STD</t>
        </is>
      </c>
      <c r="K848" s="20" t="inlineStr">
        <is>
          <t>I63649156</t>
        </is>
      </c>
      <c r="L848" s="22" t="n">
        <v>2.3</v>
      </c>
      <c r="M848" s="20">
        <f>IFERROR(LEFT(B848,SEARCH("_Rev",B848)-1),B848)</f>
        <v/>
      </c>
      <c r="N848" s="20">
        <f>IF(B848="","",IF(ISNUMBER(C848),IF(COUNTIFS($M$3:$M$1026,M848,$C$3:$C$1026,"&gt;"&amp;C848)=0,"CURRENT","SUPERSEDED"),"CURRENT"))</f>
        <v/>
      </c>
      <c r="O848" s="19" t="n"/>
    </row>
    <row r="849">
      <c r="A849" s="19" t="n"/>
      <c r="B849" s="20" t="inlineStr">
        <is>
          <t>4503-XH-DL-8794-8770-5102-FL-01_Rev0</t>
        </is>
      </c>
      <c r="C849" s="21" t="n">
        <v>0</v>
      </c>
      <c r="D849" s="21" t="inlineStr">
        <is>
          <t>20.08.2026</t>
        </is>
      </c>
      <c r="E849" s="20" t="inlineStr">
        <is>
          <t>IFC-ISSUED FOR CONSTRUCTION</t>
        </is>
      </c>
      <c r="F849" s="21" t="n">
        <v>8794</v>
      </c>
      <c r="G849" s="20" t="inlineStr">
        <is>
          <t>PIPE B36.10/36.19 A333 6-SMLS BE BE</t>
        </is>
      </c>
      <c r="H849" s="20" t="inlineStr">
        <is>
          <t>A333</t>
        </is>
      </c>
      <c r="I849" s="22" t="n">
        <v>6</v>
      </c>
      <c r="J849" s="21" t="inlineStr">
        <is>
          <t>STD</t>
        </is>
      </c>
      <c r="K849" s="20" t="inlineStr">
        <is>
          <t>I63649156</t>
        </is>
      </c>
      <c r="L849" s="22" t="n">
        <v>2.4</v>
      </c>
      <c r="M849" s="20">
        <f>IFERROR(LEFT(B849,SEARCH("_Rev",B849)-1),B849)</f>
        <v/>
      </c>
      <c r="N849" s="20">
        <f>IF(B849="","",IF(ISNUMBER(C849),IF(COUNTIFS($M$3:$M$1026,M849,$C$3:$C$1026,"&gt;"&amp;C849)=0,"CURRENT","SUPERSEDED"),"CURRENT"))</f>
        <v/>
      </c>
      <c r="O849" s="19" t="n"/>
    </row>
    <row r="850">
      <c r="A850" s="19" t="n"/>
      <c r="B850" s="20" t="inlineStr">
        <is>
          <t>4503-XH-DL-8794-8770-5120-FL-01_Rev0</t>
        </is>
      </c>
      <c r="C850" s="21" t="n">
        <v>0</v>
      </c>
      <c r="D850" s="21" t="inlineStr">
        <is>
          <t>20.08.2026</t>
        </is>
      </c>
      <c r="E850" s="20" t="inlineStr">
        <is>
          <t>IFC-ISSUED FOR CONSTRUCTION</t>
        </is>
      </c>
      <c r="F850" s="21" t="n">
        <v>8794</v>
      </c>
      <c r="G850" s="20" t="inlineStr">
        <is>
          <t>PIPE B36.10/36.19 A333 6-SMLS BE BE</t>
        </is>
      </c>
      <c r="H850" s="20" t="inlineStr">
        <is>
          <t>A333</t>
        </is>
      </c>
      <c r="I850" s="22" t="n">
        <v>12</v>
      </c>
      <c r="J850" s="21" t="inlineStr">
        <is>
          <t>STD</t>
        </is>
      </c>
      <c r="K850" s="20" t="inlineStr">
        <is>
          <t>I64955933</t>
        </is>
      </c>
      <c r="L850" s="22" t="n">
        <v>12.5</v>
      </c>
      <c r="M850" s="20">
        <f>IFERROR(LEFT(B850,SEARCH("_Rev",B850)-1),B850)</f>
        <v/>
      </c>
      <c r="N850" s="20">
        <f>IF(B850="","",IF(ISNUMBER(C850),IF(COUNTIFS($M$3:$M$1026,M850,$C$3:$C$1026,"&gt;"&amp;C850)=0,"CURRENT","SUPERSEDED"),"CURRENT"))</f>
        <v/>
      </c>
      <c r="O850" s="19" t="n"/>
    </row>
    <row r="851">
      <c r="A851" s="19" t="n"/>
      <c r="B851" s="20" t="inlineStr">
        <is>
          <t>4503-XH-DL-8794-8770-5120-FL-02_Rev0</t>
        </is>
      </c>
      <c r="C851" s="21" t="n">
        <v>0</v>
      </c>
      <c r="D851" s="21" t="inlineStr">
        <is>
          <t>20.08.2026</t>
        </is>
      </c>
      <c r="E851" s="20" t="inlineStr">
        <is>
          <t>IFC-ISSUED FOR CONSTRUCTION</t>
        </is>
      </c>
      <c r="F851" s="21" t="n">
        <v>8794</v>
      </c>
      <c r="G851" s="20" t="inlineStr">
        <is>
          <t>PIPE B36.10/36.19 A333 6-SMLS BE BE</t>
        </is>
      </c>
      <c r="H851" s="20" t="inlineStr">
        <is>
          <t>A333</t>
        </is>
      </c>
      <c r="I851" s="22" t="n">
        <v>12</v>
      </c>
      <c r="J851" s="21" t="inlineStr">
        <is>
          <t>STD</t>
        </is>
      </c>
      <c r="K851" s="20" t="inlineStr">
        <is>
          <t>I64955933</t>
        </is>
      </c>
      <c r="L851" s="22" t="n">
        <v>49.2</v>
      </c>
      <c r="M851" s="20">
        <f>IFERROR(LEFT(B851,SEARCH("_Rev",B851)-1),B851)</f>
        <v/>
      </c>
      <c r="N851" s="20">
        <f>IF(B851="","",IF(ISNUMBER(C851),IF(COUNTIFS($M$3:$M$1026,M851,$C$3:$C$1026,"&gt;"&amp;C851)=0,"CURRENT","SUPERSEDED"),"CURRENT"))</f>
        <v/>
      </c>
      <c r="O851" s="19" t="n"/>
    </row>
    <row r="852">
      <c r="A852" s="19" t="n"/>
      <c r="B852" s="20" t="inlineStr">
        <is>
          <t>4503-XH-DL-8794-8770-5127-FL-01_Rev0</t>
        </is>
      </c>
      <c r="C852" s="21" t="n">
        <v>0</v>
      </c>
      <c r="D852" s="21" t="inlineStr">
        <is>
          <t>20.08.2026</t>
        </is>
      </c>
      <c r="E852" s="20" t="inlineStr">
        <is>
          <t>IFC-ISSUED FOR CONSTRUCTION</t>
        </is>
      </c>
      <c r="F852" s="21" t="n">
        <v>8794</v>
      </c>
      <c r="G852" s="20" t="inlineStr">
        <is>
          <t>PIPE B36.10/36.19 A333 6-SMLS BE BE</t>
        </is>
      </c>
      <c r="H852" s="20" t="inlineStr">
        <is>
          <t>A333</t>
        </is>
      </c>
      <c r="I852" s="22" t="n">
        <v>6</v>
      </c>
      <c r="J852" s="21" t="inlineStr">
        <is>
          <t>STD</t>
        </is>
      </c>
      <c r="K852" s="20" t="inlineStr">
        <is>
          <t>I63649156</t>
        </is>
      </c>
      <c r="L852" s="22" t="n">
        <v>2.4</v>
      </c>
      <c r="M852" s="20">
        <f>IFERROR(LEFT(B852,SEARCH("_Rev",B852)-1),B852)</f>
        <v/>
      </c>
      <c r="N852" s="20">
        <f>IF(B852="","",IF(ISNUMBER(C852),IF(COUNTIFS($M$3:$M$1026,M852,$C$3:$C$1026,"&gt;"&amp;C852)=0,"CURRENT","SUPERSEDED"),"CURRENT"))</f>
        <v/>
      </c>
      <c r="O852" s="19" t="n"/>
    </row>
    <row r="853">
      <c r="A853" s="19" t="n"/>
      <c r="B853" s="20" t="inlineStr">
        <is>
          <t>4503-XH-DL-8794-8770-5259-FL-01_Rev0</t>
        </is>
      </c>
      <c r="C853" s="21" t="n">
        <v>0</v>
      </c>
      <c r="D853" s="21" t="inlineStr">
        <is>
          <t>20.08.2026</t>
        </is>
      </c>
      <c r="E853" s="20" t="inlineStr">
        <is>
          <t>IFC-ISSUED FOR CONSTRUCTION</t>
        </is>
      </c>
      <c r="F853" s="21" t="n">
        <v>8794</v>
      </c>
      <c r="G853" s="20" t="inlineStr">
        <is>
          <t>PIPE B36.10/36.19 A333 6-SMLS BE BE</t>
        </is>
      </c>
      <c r="H853" s="20" t="inlineStr">
        <is>
          <t>A333</t>
        </is>
      </c>
      <c r="I853" s="22" t="n">
        <v>6</v>
      </c>
      <c r="J853" s="21" t="inlineStr">
        <is>
          <t>STD</t>
        </is>
      </c>
      <c r="K853" s="20" t="inlineStr">
        <is>
          <t>I63649156</t>
        </is>
      </c>
      <c r="L853" s="22" t="n">
        <v>2.4</v>
      </c>
      <c r="M853" s="20">
        <f>IFERROR(LEFT(B853,SEARCH("_Rev",B853)-1),B853)</f>
        <v/>
      </c>
      <c r="N853" s="20">
        <f>IF(B853="","",IF(ISNUMBER(C853),IF(COUNTIFS($M$3:$M$1026,M853,$C$3:$C$1026,"&gt;"&amp;C853)=0,"CURRENT","SUPERSEDED"),"CURRENT"))</f>
        <v/>
      </c>
      <c r="O853" s="19" t="n"/>
    </row>
    <row r="854">
      <c r="A854" s="19" t="n"/>
      <c r="B854" s="20" t="inlineStr">
        <is>
          <t>4503-XH-DL-8794-8770-5261-FL-01_Rev0</t>
        </is>
      </c>
      <c r="C854" s="21" t="n">
        <v>0</v>
      </c>
      <c r="D854" s="21" t="inlineStr">
        <is>
          <t>20.08.2026</t>
        </is>
      </c>
      <c r="E854" s="20" t="inlineStr">
        <is>
          <t>IFC-ISSUED FOR CONSTRUCTION</t>
        </is>
      </c>
      <c r="F854" s="21" t="n">
        <v>8794</v>
      </c>
      <c r="G854" s="20" t="inlineStr">
        <is>
          <t>PIPE B36.10/36.19 A333 6-SMLS BE BE</t>
        </is>
      </c>
      <c r="H854" s="20" t="inlineStr">
        <is>
          <t>A333</t>
        </is>
      </c>
      <c r="I854" s="22" t="n">
        <v>6</v>
      </c>
      <c r="J854" s="21" t="inlineStr">
        <is>
          <t>STD</t>
        </is>
      </c>
      <c r="K854" s="20" t="inlineStr">
        <is>
          <t>I63649156</t>
        </is>
      </c>
      <c r="L854" s="22" t="n">
        <v>2.4</v>
      </c>
      <c r="M854" s="20">
        <f>IFERROR(LEFT(B854,SEARCH("_Rev",B854)-1),B854)</f>
        <v/>
      </c>
      <c r="N854" s="20">
        <f>IF(B854="","",IF(ISNUMBER(C854),IF(COUNTIFS($M$3:$M$1026,M854,$C$3:$C$1026,"&gt;"&amp;C854)=0,"CURRENT","SUPERSEDED"),"CURRENT"))</f>
        <v/>
      </c>
      <c r="O854" s="19" t="n"/>
    </row>
    <row r="855">
      <c r="A855" s="19" t="n"/>
      <c r="B855" s="20" t="inlineStr">
        <is>
          <t>4503-XH-DL-8795-8765-5102-PR-01_Rev0</t>
        </is>
      </c>
      <c r="C855" s="21" t="n">
        <v>0</v>
      </c>
      <c r="D855" s="21" t="inlineStr">
        <is>
          <t>20.08.2026</t>
        </is>
      </c>
      <c r="E855" s="20" t="inlineStr">
        <is>
          <t>IFC-ISSUED FOR CONSTRUCTION</t>
        </is>
      </c>
      <c r="F855" s="21" t="n">
        <v>8795</v>
      </c>
      <c r="G855" s="20" t="inlineStr">
        <is>
          <t>PIPE B36.10/36.19 A333 6-SMLS BE BE</t>
        </is>
      </c>
      <c r="H855" s="20" t="inlineStr">
        <is>
          <t>A333</t>
        </is>
      </c>
      <c r="I855" s="22" t="n">
        <v>16</v>
      </c>
      <c r="J855" s="21" t="inlineStr">
        <is>
          <t>XS</t>
        </is>
      </c>
      <c r="K855" s="20" t="inlineStr">
        <is>
          <t>I63649182</t>
        </is>
      </c>
      <c r="L855" s="22" t="n">
        <v>36.5</v>
      </c>
      <c r="M855" s="20">
        <f>IFERROR(LEFT(B855,SEARCH("_Rev",B855)-1),B855)</f>
        <v/>
      </c>
      <c r="N855" s="20">
        <f>IF(B855="","",IF(ISNUMBER(C855),IF(COUNTIFS($M$3:$M$1026,M855,$C$3:$C$1026,"&gt;"&amp;C855)=0,"CURRENT","SUPERSEDED"),"CURRENT"))</f>
        <v/>
      </c>
      <c r="O855" s="19" t="n"/>
    </row>
    <row r="856">
      <c r="A856" s="19" t="n"/>
      <c r="B856" s="20" t="inlineStr">
        <is>
          <t>4503-XH-DL-8795-8766-5009-IBU-01_Rev0</t>
        </is>
      </c>
      <c r="C856" s="21" t="n">
        <v>0</v>
      </c>
      <c r="D856" s="21" t="inlineStr">
        <is>
          <t>20.08.2026</t>
        </is>
      </c>
      <c r="E856" s="20" t="inlineStr">
        <is>
          <t>IFC-ISSUED FOR CONSTRUCTION</t>
        </is>
      </c>
      <c r="F856" s="21" t="n">
        <v>8795</v>
      </c>
      <c r="G856" s="20" t="inlineStr">
        <is>
          <t>PIPE B36.10/36.19 A333 6-SMLS BE BE</t>
        </is>
      </c>
      <c r="H856" s="20" t="inlineStr">
        <is>
          <t>A333</t>
        </is>
      </c>
      <c r="I856" s="22" t="n">
        <v>10</v>
      </c>
      <c r="J856" s="21" t="inlineStr">
        <is>
          <t>STD</t>
        </is>
      </c>
      <c r="K856" s="20" t="inlineStr">
        <is>
          <t>I64108754</t>
        </is>
      </c>
      <c r="L856" s="22" t="n">
        <v>1.7</v>
      </c>
      <c r="M856" s="20">
        <f>IFERROR(LEFT(B856,SEARCH("_Rev",B856)-1),B856)</f>
        <v/>
      </c>
      <c r="N856" s="20">
        <f>IF(B856="","",IF(ISNUMBER(C856),IF(COUNTIFS($M$3:$M$1026,M856,$C$3:$C$1026,"&gt;"&amp;C856)=0,"CURRENT","SUPERSEDED"),"CURRENT"))</f>
        <v/>
      </c>
      <c r="O856" s="19" t="n"/>
    </row>
    <row r="857">
      <c r="A857" s="19" t="n"/>
      <c r="B857" s="20" t="inlineStr">
        <is>
          <t>4503-XH-DL-8795-8766-5054-IBU-01_Rev0</t>
        </is>
      </c>
      <c r="C857" s="21" t="n">
        <v>0</v>
      </c>
      <c r="D857" s="21" t="inlineStr">
        <is>
          <t>20.08.2026</t>
        </is>
      </c>
      <c r="E857" s="20" t="inlineStr">
        <is>
          <t>IFC-ISSUED FOR CONSTRUCTION</t>
        </is>
      </c>
      <c r="F857" s="21" t="n">
        <v>8795</v>
      </c>
      <c r="G857" s="20" t="inlineStr">
        <is>
          <t>PIPE B36.10/36.19 A333 6-SMLS BE BE</t>
        </is>
      </c>
      <c r="H857" s="20" t="inlineStr">
        <is>
          <t>A333</t>
        </is>
      </c>
      <c r="I857" s="22" t="n">
        <v>10</v>
      </c>
      <c r="J857" s="21" t="inlineStr">
        <is>
          <t>STD</t>
        </is>
      </c>
      <c r="K857" s="20" t="inlineStr">
        <is>
          <t>I64108754</t>
        </is>
      </c>
      <c r="L857" s="22" t="n">
        <v>41.7</v>
      </c>
      <c r="M857" s="20">
        <f>IFERROR(LEFT(B857,SEARCH("_Rev",B857)-1),B857)</f>
        <v/>
      </c>
      <c r="N857" s="20">
        <f>IF(B857="","",IF(ISNUMBER(C857),IF(COUNTIFS($M$3:$M$1026,M857,$C$3:$C$1026,"&gt;"&amp;C857)=0,"CURRENT","SUPERSEDED"),"CURRENT"))</f>
        <v/>
      </c>
      <c r="O857" s="19" t="n"/>
    </row>
    <row r="858">
      <c r="A858" s="19" t="n"/>
      <c r="B858" s="20" t="inlineStr">
        <is>
          <t>4503-XH-DL-8795-8772-5072-IPE-01_Rev0</t>
        </is>
      </c>
      <c r="C858" s="21" t="n">
        <v>0</v>
      </c>
      <c r="D858" s="21" t="inlineStr">
        <is>
          <t>20.08.2026</t>
        </is>
      </c>
      <c r="E858" s="20" t="inlineStr">
        <is>
          <t>IFC-ISSUED FOR CONSTRUCTION</t>
        </is>
      </c>
      <c r="F858" s="21" t="n">
        <v>8795</v>
      </c>
      <c r="G858" s="20" t="inlineStr">
        <is>
          <t>PIPE B36.10/36.19 A333 6-SMLS BE BE</t>
        </is>
      </c>
      <c r="H858" s="20" t="inlineStr">
        <is>
          <t>A333</t>
        </is>
      </c>
      <c r="I858" s="22" t="n">
        <v>10</v>
      </c>
      <c r="J858" s="21" t="inlineStr">
        <is>
          <t>STD</t>
        </is>
      </c>
      <c r="K858" s="20" t="inlineStr">
        <is>
          <t>I64108754</t>
        </is>
      </c>
      <c r="L858" s="22" t="n">
        <v>33.5</v>
      </c>
      <c r="M858" s="20">
        <f>IFERROR(LEFT(B858,SEARCH("_Rev",B858)-1),B858)</f>
        <v/>
      </c>
      <c r="N858" s="20">
        <f>IF(B858="","",IF(ISNUMBER(C858),IF(COUNTIFS($M$3:$M$1026,M858,$C$3:$C$1026,"&gt;"&amp;C858)=0,"CURRENT","SUPERSEDED"),"CURRENT"))</f>
        <v/>
      </c>
      <c r="O858" s="19" t="n"/>
    </row>
    <row r="859">
      <c r="A859" s="19" t="n"/>
      <c r="B859" s="20" t="inlineStr">
        <is>
          <t>4503-XH-DL-8796-8779-5002-LHCG-01_Rev0</t>
        </is>
      </c>
      <c r="C859" s="21" t="n">
        <v>0</v>
      </c>
      <c r="D859" s="21" t="inlineStr">
        <is>
          <t>20.08.2026</t>
        </is>
      </c>
      <c r="E859" s="20" t="inlineStr">
        <is>
          <t>IFC-ISSUED FOR CONSTRUCTION</t>
        </is>
      </c>
      <c r="F859" s="21" t="n">
        <v>8796</v>
      </c>
      <c r="G859" s="20" t="inlineStr">
        <is>
          <t>PIPE B36.10/36.19 A333 6-SMLS BE BE</t>
        </is>
      </c>
      <c r="H859" s="20" t="inlineStr">
        <is>
          <t>A333</t>
        </is>
      </c>
      <c r="I859" s="22" t="n">
        <v>12</v>
      </c>
      <c r="J859" s="21" t="inlineStr">
        <is>
          <t>STD</t>
        </is>
      </c>
      <c r="K859" s="20" t="inlineStr">
        <is>
          <t>I64955933</t>
        </is>
      </c>
      <c r="L859" s="22" t="n">
        <v>41.9</v>
      </c>
      <c r="M859" s="20">
        <f>IFERROR(LEFT(B859,SEARCH("_Rev",B859)-1),B859)</f>
        <v/>
      </c>
      <c r="N859" s="20">
        <f>IF(B859="","",IF(ISNUMBER(C859),IF(COUNTIFS($M$3:$M$1026,M859,$C$3:$C$1026,"&gt;"&amp;C859)=0,"CURRENT","SUPERSEDED"),"CURRENT"))</f>
        <v/>
      </c>
      <c r="O859" s="19" t="n"/>
    </row>
    <row r="860">
      <c r="A860" s="19" t="n"/>
      <c r="B860" s="20" t="inlineStr">
        <is>
          <t>4503-XH-DL-8796-8779-5003-LHCG-01_Rev0</t>
        </is>
      </c>
      <c r="C860" s="21" t="n">
        <v>0</v>
      </c>
      <c r="D860" s="21" t="inlineStr">
        <is>
          <t>20.08.2026</t>
        </is>
      </c>
      <c r="E860" s="20" t="inlineStr">
        <is>
          <t>IFC-ISSUED FOR CONSTRUCTION</t>
        </is>
      </c>
      <c r="F860" s="21" t="n">
        <v>8796</v>
      </c>
      <c r="G860" s="20" t="inlineStr">
        <is>
          <t>PIPE B36.10/36.19 A333 6-SMLS BE BE</t>
        </is>
      </c>
      <c r="H860" s="20" t="inlineStr">
        <is>
          <t>A333</t>
        </is>
      </c>
      <c r="I860" s="22" t="n">
        <v>10</v>
      </c>
      <c r="J860" s="21" t="inlineStr">
        <is>
          <t>STD</t>
        </is>
      </c>
      <c r="K860" s="20" t="inlineStr">
        <is>
          <t>I64108754</t>
        </is>
      </c>
      <c r="L860" s="22" t="n">
        <v>36</v>
      </c>
      <c r="M860" s="20">
        <f>IFERROR(LEFT(B860,SEARCH("_Rev",B860)-1),B860)</f>
        <v/>
      </c>
      <c r="N860" s="20">
        <f>IF(B860="","",IF(ISNUMBER(C860),IF(COUNTIFS($M$3:$M$1026,M860,$C$3:$C$1026,"&gt;"&amp;C860)=0,"CURRENT","SUPERSEDED"),"CURRENT"))</f>
        <v/>
      </c>
      <c r="O860" s="19" t="n"/>
    </row>
    <row r="861">
      <c r="A861" s="19" t="n"/>
      <c r="B861" s="20" t="inlineStr">
        <is>
          <t>4503-XH-DL-8796-8779-5141-PR-01_Rev0</t>
        </is>
      </c>
      <c r="C861" s="21" t="n">
        <v>0</v>
      </c>
      <c r="D861" s="21" t="inlineStr">
        <is>
          <t>20.08.2026</t>
        </is>
      </c>
      <c r="E861" s="20" t="inlineStr">
        <is>
          <t>IFC-ISSUED FOR CONSTRUCTION</t>
        </is>
      </c>
      <c r="F861" s="21" t="n">
        <v>8796</v>
      </c>
      <c r="G861" s="20" t="inlineStr">
        <is>
          <t>PIPE B36.10/36.19 A333 6-SMLS BE BE</t>
        </is>
      </c>
      <c r="H861" s="20" t="inlineStr">
        <is>
          <t>A333</t>
        </is>
      </c>
      <c r="I861" s="22" t="n">
        <v>12</v>
      </c>
      <c r="J861" s="21" t="inlineStr">
        <is>
          <t>STD</t>
        </is>
      </c>
      <c r="K861" s="20" t="inlineStr">
        <is>
          <t>I64955933</t>
        </is>
      </c>
      <c r="L861" s="22" t="n">
        <v>23.3</v>
      </c>
      <c r="M861" s="20">
        <f>IFERROR(LEFT(B861,SEARCH("_Rev",B861)-1),B861)</f>
        <v/>
      </c>
      <c r="N861" s="20">
        <f>IF(B861="","",IF(ISNUMBER(C861),IF(COUNTIFS($M$3:$M$1026,M861,$C$3:$C$1026,"&gt;"&amp;C861)=0,"CURRENT","SUPERSEDED"),"CURRENT"))</f>
        <v/>
      </c>
      <c r="O861" s="19" t="n"/>
    </row>
    <row r="862">
      <c r="A862" s="19" t="n"/>
      <c r="B862" s="20" t="inlineStr">
        <is>
          <t>4503-XH-DL-8797-8770-5082-FL-01_Rev0</t>
        </is>
      </c>
      <c r="C862" s="21" t="n">
        <v>0</v>
      </c>
      <c r="D862" s="21" t="inlineStr">
        <is>
          <t>20.08.2026</t>
        </is>
      </c>
      <c r="E862" s="20" t="inlineStr">
        <is>
          <t>IFC-ISSUED FOR CONSTRUCTION</t>
        </is>
      </c>
      <c r="F862" s="21" t="n">
        <v>8797</v>
      </c>
      <c r="G862" s="20" t="inlineStr">
        <is>
          <t>PIPE B36.10/36.19 A333 6-SMLS BE BE</t>
        </is>
      </c>
      <c r="H862" s="20" t="inlineStr">
        <is>
          <t>A333</t>
        </is>
      </c>
      <c r="I862" s="22" t="n">
        <v>24</v>
      </c>
      <c r="J862" s="21" t="inlineStr">
        <is>
          <t>STD</t>
        </is>
      </c>
      <c r="K862" s="20" t="inlineStr">
        <is>
          <t>I64108759</t>
        </is>
      </c>
      <c r="L862" s="22" t="n">
        <v>39.2</v>
      </c>
      <c r="M862" s="20">
        <f>IFERROR(LEFT(B862,SEARCH("_Rev",B862)-1),B862)</f>
        <v/>
      </c>
      <c r="N862" s="20">
        <f>IF(B862="","",IF(ISNUMBER(C862),IF(COUNTIFS($M$3:$M$1026,M862,$C$3:$C$1026,"&gt;"&amp;C862)=0,"CURRENT","SUPERSEDED"),"CURRENT"))</f>
        <v/>
      </c>
      <c r="O862" s="19" t="n"/>
    </row>
    <row r="863">
      <c r="A863" s="19" t="n"/>
      <c r="B863" s="20" t="inlineStr">
        <is>
          <t>4503-XH-DL-8797-8770-5082-FL-02_Rev0</t>
        </is>
      </c>
      <c r="C863" s="21" t="n">
        <v>0</v>
      </c>
      <c r="D863" s="21" t="inlineStr">
        <is>
          <t>20.08.2026</t>
        </is>
      </c>
      <c r="E863" s="20" t="inlineStr">
        <is>
          <t>IFC-ISSUED FOR CONSTRUCTION</t>
        </is>
      </c>
      <c r="F863" s="21" t="n">
        <v>8797</v>
      </c>
      <c r="G863" s="20" t="inlineStr">
        <is>
          <t>PIPE B36.10/36.19 A333 6-SMLS BE BE</t>
        </is>
      </c>
      <c r="H863" s="20" t="inlineStr">
        <is>
          <t>A333</t>
        </is>
      </c>
      <c r="I863" s="22" t="n">
        <v>24</v>
      </c>
      <c r="J863" s="21" t="inlineStr">
        <is>
          <t>STD</t>
        </is>
      </c>
      <c r="K863" s="20" t="inlineStr">
        <is>
          <t>I64108759</t>
        </is>
      </c>
      <c r="L863" s="22" t="n">
        <v>81</v>
      </c>
      <c r="M863" s="20">
        <f>IFERROR(LEFT(B863,SEARCH("_Rev",B863)-1),B863)</f>
        <v/>
      </c>
      <c r="N863" s="20">
        <f>IF(B863="","",IF(ISNUMBER(C863),IF(COUNTIFS($M$3:$M$1026,M863,$C$3:$C$1026,"&gt;"&amp;C863)=0,"CURRENT","SUPERSEDED"),"CURRENT"))</f>
        <v/>
      </c>
      <c r="O863" s="19" t="n"/>
    </row>
    <row r="864">
      <c r="A864" s="19" t="n"/>
      <c r="B864" s="20" t="inlineStr">
        <is>
          <t>4503-XH-DL-8797-8770-5082-FL-03_Rev0</t>
        </is>
      </c>
      <c r="C864" s="21" t="n">
        <v>0</v>
      </c>
      <c r="D864" s="21" t="inlineStr">
        <is>
          <t>20.08.2026</t>
        </is>
      </c>
      <c r="E864" s="20" t="inlineStr">
        <is>
          <t>IFC-ISSUED FOR CONSTRUCTION</t>
        </is>
      </c>
      <c r="F864" s="21" t="n">
        <v>8797</v>
      </c>
      <c r="G864" s="20" t="inlineStr">
        <is>
          <t>PIPE B36.10/36.19 A333 6-SMLS BE BE</t>
        </is>
      </c>
      <c r="H864" s="20" t="inlineStr">
        <is>
          <t>A333</t>
        </is>
      </c>
      <c r="I864" s="22" t="n">
        <v>24</v>
      </c>
      <c r="J864" s="21" t="inlineStr">
        <is>
          <t>STD</t>
        </is>
      </c>
      <c r="K864" s="20" t="inlineStr">
        <is>
          <t>I64108759</t>
        </is>
      </c>
      <c r="L864" s="22" t="n">
        <v>37</v>
      </c>
      <c r="M864" s="20">
        <f>IFERROR(LEFT(B864,SEARCH("_Rev",B864)-1),B864)</f>
        <v/>
      </c>
      <c r="N864" s="20">
        <f>IF(B864="","",IF(ISNUMBER(C864),IF(COUNTIFS($M$3:$M$1026,M864,$C$3:$C$1026,"&gt;"&amp;C864)=0,"CURRENT","SUPERSEDED"),"CURRENT"))</f>
        <v/>
      </c>
      <c r="O864" s="19" t="n"/>
    </row>
    <row r="865">
      <c r="A865" s="19" t="n"/>
      <c r="B865" s="20" t="inlineStr">
        <is>
          <t>4503-XH-DL-8901-8920-5018-UW-01_Rev0</t>
        </is>
      </c>
      <c r="C865" s="21" t="n">
        <v>0</v>
      </c>
      <c r="D865" s="21" t="inlineStr">
        <is>
          <t>10.08.2026</t>
        </is>
      </c>
      <c r="E865" s="20" t="inlineStr">
        <is>
          <t>IFC - ISSUED FOR CONSTRUCTION</t>
        </is>
      </c>
      <c r="F865" s="21" t="n">
        <v>8901</v>
      </c>
      <c r="G865" s="20" t="inlineStr">
        <is>
          <t>PIPE B36.10/36.19 A333 6-SMLS BE BE</t>
        </is>
      </c>
      <c r="H865" s="20" t="inlineStr">
        <is>
          <t>A333</t>
        </is>
      </c>
      <c r="I865" s="22" t="n">
        <v>3</v>
      </c>
      <c r="J865" s="21" t="inlineStr">
        <is>
          <t>STD</t>
        </is>
      </c>
      <c r="K865" s="20" t="inlineStr">
        <is>
          <t>I63649171</t>
        </is>
      </c>
      <c r="L865" s="22" t="n">
        <v>6.5</v>
      </c>
      <c r="M865" s="20">
        <f>IFERROR(LEFT(B865,SEARCH("_Rev",B865)-1),B865)</f>
        <v/>
      </c>
      <c r="N865" s="20">
        <f>IF(B865="","",IF(ISNUMBER(C865),IF(COUNTIFS($M$3:$M$1026,M865,$C$3:$C$1026,"&gt;"&amp;C865)=0,"CURRENT","SUPERSEDED"),"CURRENT"))</f>
        <v/>
      </c>
      <c r="O865" s="19" t="n"/>
    </row>
    <row r="866">
      <c r="A866" s="19" t="n"/>
      <c r="B866" s="20" t="inlineStr">
        <is>
          <t>4503-XH-DL-8901-8920-5019-UW-02_Rev0</t>
        </is>
      </c>
      <c r="C866" s="21" t="n">
        <v>0</v>
      </c>
      <c r="D866" s="21" t="inlineStr">
        <is>
          <t>10.08.2026</t>
        </is>
      </c>
      <c r="E866" s="20" t="inlineStr">
        <is>
          <t>IFC - ISSUED FOR CONSTRUCTION</t>
        </is>
      </c>
      <c r="F866" s="21" t="n">
        <v>8901</v>
      </c>
      <c r="G866" s="20" t="inlineStr">
        <is>
          <t>PIPE B36.10/36.19 A333 6-SMLS BE BE</t>
        </is>
      </c>
      <c r="H866" s="20" t="inlineStr">
        <is>
          <t>A333</t>
        </is>
      </c>
      <c r="I866" s="22" t="n">
        <v>3</v>
      </c>
      <c r="J866" s="21" t="inlineStr">
        <is>
          <t>STD</t>
        </is>
      </c>
      <c r="K866" s="20" t="inlineStr">
        <is>
          <t>I63649171</t>
        </is>
      </c>
      <c r="L866" s="22" t="n">
        <v>54.5</v>
      </c>
      <c r="M866" s="20">
        <f>IFERROR(LEFT(B866,SEARCH("_Rev",B866)-1),B866)</f>
        <v/>
      </c>
      <c r="N866" s="20">
        <f>IF(B866="","",IF(ISNUMBER(C866),IF(COUNTIFS($M$3:$M$1026,M866,$C$3:$C$1026,"&gt;"&amp;C866)=0,"CURRENT","SUPERSEDED"),"CURRENT"))</f>
        <v/>
      </c>
      <c r="O866" s="19" t="n"/>
    </row>
    <row r="867">
      <c r="A867" s="19" t="n"/>
      <c r="B867" s="20" t="inlineStr">
        <is>
          <t>4503-XH-DL-8901-8920-5019-UW-03_Rev0</t>
        </is>
      </c>
      <c r="C867" s="21" t="n">
        <v>0</v>
      </c>
      <c r="D867" s="21" t="inlineStr">
        <is>
          <t>10.08.2026</t>
        </is>
      </c>
      <c r="E867" s="20" t="inlineStr">
        <is>
          <t>IFC - ISSUED FOR CONSTRUCTION</t>
        </is>
      </c>
      <c r="F867" s="21" t="n">
        <v>8901</v>
      </c>
      <c r="G867" s="20" t="inlineStr">
        <is>
          <t>PIPE B36.10/36.19 A333 6-SMLS BE BE</t>
        </is>
      </c>
      <c r="H867" s="20" t="inlineStr">
        <is>
          <t>A333</t>
        </is>
      </c>
      <c r="I867" s="22" t="n">
        <v>3</v>
      </c>
      <c r="J867" s="21" t="inlineStr">
        <is>
          <t>STD</t>
        </is>
      </c>
      <c r="K867" s="20" t="inlineStr">
        <is>
          <t>I63649171</t>
        </is>
      </c>
      <c r="L867" s="22" t="n">
        <v>9.5</v>
      </c>
      <c r="M867" s="20">
        <f>IFERROR(LEFT(B867,SEARCH("_Rev",B867)-1),B867)</f>
        <v/>
      </c>
      <c r="N867" s="20">
        <f>IF(B867="","",IF(ISNUMBER(C867),IF(COUNTIFS($M$3:$M$1026,M867,$C$3:$C$1026,"&gt;"&amp;C867)=0,"CURRENT","SUPERSEDED"),"CURRENT"))</f>
        <v/>
      </c>
      <c r="O867" s="19" t="n"/>
    </row>
    <row r="868">
      <c r="A868" s="19" t="n"/>
      <c r="B868" s="20" t="inlineStr">
        <is>
          <t>4503-XH-DL-8901-8920-5019-UW-04_Rev0</t>
        </is>
      </c>
      <c r="C868" s="21" t="n">
        <v>0</v>
      </c>
      <c r="D868" s="21" t="inlineStr">
        <is>
          <t>10.08.2026</t>
        </is>
      </c>
      <c r="E868" s="20" t="inlineStr">
        <is>
          <t>IFC - ISSUED FOR CONSTRUCTION</t>
        </is>
      </c>
      <c r="F868" s="21" t="n">
        <v>8901</v>
      </c>
      <c r="G868" s="20" t="inlineStr">
        <is>
          <t>PIPE B36.10/36.19 A333 6-SMLS BE BE</t>
        </is>
      </c>
      <c r="H868" s="20" t="inlineStr">
        <is>
          <t>A333</t>
        </is>
      </c>
      <c r="I868" s="22" t="n">
        <v>3</v>
      </c>
      <c r="J868" s="21" t="inlineStr">
        <is>
          <t>STD</t>
        </is>
      </c>
      <c r="K868" s="20" t="inlineStr">
        <is>
          <t>I63649171</t>
        </is>
      </c>
      <c r="L868" s="22" t="n">
        <v>48.4</v>
      </c>
      <c r="M868" s="20">
        <f>IFERROR(LEFT(B868,SEARCH("_Rev",B868)-1),B868)</f>
        <v/>
      </c>
      <c r="N868" s="20">
        <f>IF(B868="","",IF(ISNUMBER(C868),IF(COUNTIFS($M$3:$M$1026,M868,$C$3:$C$1026,"&gt;"&amp;C868)=0,"CURRENT","SUPERSEDED"),"CURRENT"))</f>
        <v/>
      </c>
      <c r="O868" s="19" t="n"/>
    </row>
    <row r="869">
      <c r="A869" s="19" t="n"/>
      <c r="B869" s="20" t="inlineStr">
        <is>
          <t>4503-XH-DL-8901-8920-5019-UW-05_Rev0</t>
        </is>
      </c>
      <c r="C869" s="21" t="n">
        <v>0</v>
      </c>
      <c r="D869" s="21" t="inlineStr">
        <is>
          <t>10.08.2026</t>
        </is>
      </c>
      <c r="E869" s="20" t="inlineStr">
        <is>
          <t>IFC - ISSUED FOR CONSTRUCTION</t>
        </is>
      </c>
      <c r="F869" s="21" t="n">
        <v>8901</v>
      </c>
      <c r="G869" s="20" t="inlineStr">
        <is>
          <t>PIPE B36.10/36.19 A333 6-SMLS BE BE</t>
        </is>
      </c>
      <c r="H869" s="20" t="inlineStr">
        <is>
          <t>A333</t>
        </is>
      </c>
      <c r="I869" s="22" t="n">
        <v>3</v>
      </c>
      <c r="J869" s="21" t="inlineStr">
        <is>
          <t>STD</t>
        </is>
      </c>
      <c r="K869" s="20" t="inlineStr">
        <is>
          <t>I63649171</t>
        </is>
      </c>
      <c r="L869" s="22" t="n">
        <v>38.3</v>
      </c>
      <c r="M869" s="20">
        <f>IFERROR(LEFT(B869,SEARCH("_Rev",B869)-1),B869)</f>
        <v/>
      </c>
      <c r="N869" s="20">
        <f>IF(B869="","",IF(ISNUMBER(C869),IF(COUNTIFS($M$3:$M$1026,M869,$C$3:$C$1026,"&gt;"&amp;C869)=0,"CURRENT","SUPERSEDED"),"CURRENT"))</f>
        <v/>
      </c>
      <c r="O869" s="19" t="n"/>
    </row>
    <row r="870">
      <c r="A870" s="19" t="n"/>
      <c r="B870" s="20" t="inlineStr">
        <is>
          <t>4503-XH-DL-8902-8915-5018-DW-01_Rev0</t>
        </is>
      </c>
      <c r="C870" s="21" t="n">
        <v>0</v>
      </c>
      <c r="D870" s="21" t="inlineStr">
        <is>
          <t>20.08.2026</t>
        </is>
      </c>
      <c r="E870" s="20" t="inlineStr">
        <is>
          <t>IFC - ISSUEDFOR CONSTRUCTION</t>
        </is>
      </c>
      <c r="F870" s="21" t="n">
        <v>8902</v>
      </c>
      <c r="G870" s="20" t="inlineStr">
        <is>
          <t>PIPE B36.10/36.19 A312 TP304/304L SMLS DUAL GRADE BE BE</t>
        </is>
      </c>
      <c r="H870" s="20" t="inlineStr">
        <is>
          <t>A312</t>
        </is>
      </c>
      <c r="I870" s="22" t="n">
        <v>6</v>
      </c>
      <c r="J870" s="21" t="inlineStr">
        <is>
          <t>10S</t>
        </is>
      </c>
      <c r="K870" s="20" t="inlineStr">
        <is>
          <t>I64082795</t>
        </is>
      </c>
      <c r="L870" s="22" t="n">
        <v>48</v>
      </c>
      <c r="M870" s="20">
        <f>IFERROR(LEFT(B870,SEARCH("_Rev",B870)-1),B870)</f>
        <v/>
      </c>
      <c r="N870" s="20">
        <f>IF(B870="","",IF(ISNUMBER(C870),IF(COUNTIFS($M$3:$M$1026,M870,$C$3:$C$1026,"&gt;"&amp;C870)=0,"CURRENT","SUPERSEDED"),"CURRENT"))</f>
        <v/>
      </c>
      <c r="O870" s="19" t="n"/>
    </row>
    <row r="871">
      <c r="A871" s="19" t="n"/>
      <c r="B871" s="20" t="inlineStr">
        <is>
          <t>4503-XH-DL-8902-8915-5018-DW-02_Rev0</t>
        </is>
      </c>
      <c r="C871" s="21" t="n">
        <v>0</v>
      </c>
      <c r="D871" s="21" t="inlineStr">
        <is>
          <t>20.08.2026</t>
        </is>
      </c>
      <c r="E871" s="20" t="inlineStr">
        <is>
          <t>IFC - ISSUEDFOR CONSTRUCTION</t>
        </is>
      </c>
      <c r="F871" s="21" t="n">
        <v>8902</v>
      </c>
      <c r="G871" s="20" t="inlineStr">
        <is>
          <t>PIPE B36.10/36.19 A312 TP304/304L SMLS DUAL GRADE BE BE</t>
        </is>
      </c>
      <c r="H871" s="20" t="inlineStr">
        <is>
          <t>A312</t>
        </is>
      </c>
      <c r="I871" s="22" t="n">
        <v>6</v>
      </c>
      <c r="J871" s="21" t="inlineStr">
        <is>
          <t>10S</t>
        </is>
      </c>
      <c r="K871" s="20" t="inlineStr">
        <is>
          <t>I64082795</t>
        </is>
      </c>
      <c r="L871" s="22" t="n">
        <v>13.5</v>
      </c>
      <c r="M871" s="20">
        <f>IFERROR(LEFT(B871,SEARCH("_Rev",B871)-1),B871)</f>
        <v/>
      </c>
      <c r="N871" s="20">
        <f>IF(B871="","",IF(ISNUMBER(C871),IF(COUNTIFS($M$3:$M$1026,M871,$C$3:$C$1026,"&gt;"&amp;C871)=0,"CURRENT","SUPERSEDED"),"CURRENT"))</f>
        <v/>
      </c>
      <c r="O871" s="19" t="n"/>
    </row>
    <row r="872">
      <c r="A872" s="19" t="n"/>
      <c r="B872" s="20" t="inlineStr">
        <is>
          <t>4503-XH-DL-8902-8915-5019-DW-01_Rev0</t>
        </is>
      </c>
      <c r="C872" s="21" t="n">
        <v>0</v>
      </c>
      <c r="D872" s="21" t="inlineStr">
        <is>
          <t>20.08.2026</t>
        </is>
      </c>
      <c r="E872" s="20" t="inlineStr">
        <is>
          <t>IFC - ISSUEDFOR CONSTRUCTION</t>
        </is>
      </c>
      <c r="F872" s="21" t="n">
        <v>8902</v>
      </c>
      <c r="G872" s="20" t="inlineStr">
        <is>
          <t>PIPE B36.10/36.19 A312 TP304/304L SMLS DUAL GRADE BE BE</t>
        </is>
      </c>
      <c r="H872" s="20" t="inlineStr">
        <is>
          <t>A312</t>
        </is>
      </c>
      <c r="I872" s="22" t="n">
        <v>6</v>
      </c>
      <c r="J872" s="21" t="inlineStr">
        <is>
          <t>10S</t>
        </is>
      </c>
      <c r="K872" s="20" t="inlineStr">
        <is>
          <t>I64082795</t>
        </is>
      </c>
      <c r="L872" s="22" t="n">
        <v>52</v>
      </c>
      <c r="M872" s="20">
        <f>IFERROR(LEFT(B872,SEARCH("_Rev",B872)-1),B872)</f>
        <v/>
      </c>
      <c r="N872" s="20">
        <f>IF(B872="","",IF(ISNUMBER(C872),IF(COUNTIFS($M$3:$M$1026,M872,$C$3:$C$1026,"&gt;"&amp;C872)=0,"CURRENT","SUPERSEDED"),"CURRENT"))</f>
        <v/>
      </c>
      <c r="O872" s="19" t="n"/>
    </row>
    <row r="873">
      <c r="A873" s="19" t="n"/>
      <c r="B873" s="20" t="inlineStr">
        <is>
          <t>4503-XH-DL-8902-8915-5019-DW-01_Rev0</t>
        </is>
      </c>
      <c r="C873" s="21" t="n">
        <v>0</v>
      </c>
      <c r="D873" s="21" t="inlineStr">
        <is>
          <t>20.08.2026</t>
        </is>
      </c>
      <c r="E873" s="20" t="inlineStr">
        <is>
          <t>IFC - ISSUEDFOR CONSTRUCTION</t>
        </is>
      </c>
      <c r="F873" s="21" t="n">
        <v>8902</v>
      </c>
      <c r="G873" s="20" t="inlineStr">
        <is>
          <t>PIPE B36.10/36.19 A312 TP304/304L SMLS DUAL GRADE PE PE</t>
        </is>
      </c>
      <c r="H873" s="20" t="inlineStr">
        <is>
          <t>A312</t>
        </is>
      </c>
      <c r="I873" s="22" t="n">
        <v>1</v>
      </c>
      <c r="J873" s="21" t="inlineStr">
        <is>
          <t>40S</t>
        </is>
      </c>
      <c r="K873" s="20" t="inlineStr">
        <is>
          <t>I63243563</t>
        </is>
      </c>
      <c r="L873" s="22" t="n">
        <v>0.2</v>
      </c>
      <c r="M873" s="20">
        <f>IFERROR(LEFT(B873,SEARCH("_Rev",B873)-1),B873)</f>
        <v/>
      </c>
      <c r="N873" s="20">
        <f>IF(B873="","",IF(ISNUMBER(C873),IF(COUNTIFS($M$3:$M$1026,M873,$C$3:$C$1026,"&gt;"&amp;C873)=0,"CURRENT","SUPERSEDED"),"CURRENT"))</f>
        <v/>
      </c>
      <c r="O873" s="19" t="n"/>
    </row>
    <row r="874">
      <c r="A874" s="19" t="n"/>
      <c r="B874" s="20" t="inlineStr">
        <is>
          <t>4503-XH-DL-8902-8915-5019-DW-02_Rev0</t>
        </is>
      </c>
      <c r="C874" s="21" t="n">
        <v>0</v>
      </c>
      <c r="D874" s="21" t="inlineStr">
        <is>
          <t>20.08.2026</t>
        </is>
      </c>
      <c r="E874" s="20" t="inlineStr">
        <is>
          <t>IFC - ISSUEDFOR CONSTRUCTION</t>
        </is>
      </c>
      <c r="F874" s="21" t="n">
        <v>8902</v>
      </c>
      <c r="G874" s="20" t="inlineStr">
        <is>
          <t>PIPE B36.10/36.19 A312 TP304/304L SMLS DUAL GRADE BE BE</t>
        </is>
      </c>
      <c r="H874" s="20" t="inlineStr">
        <is>
          <t>A312</t>
        </is>
      </c>
      <c r="I874" s="22" t="n">
        <v>6</v>
      </c>
      <c r="J874" s="21" t="inlineStr">
        <is>
          <t>10S</t>
        </is>
      </c>
      <c r="K874" s="20" t="inlineStr">
        <is>
          <t>I64082795</t>
        </is>
      </c>
      <c r="L874" s="22" t="n">
        <v>37.8</v>
      </c>
      <c r="M874" s="20">
        <f>IFERROR(LEFT(B874,SEARCH("_Rev",B874)-1),B874)</f>
        <v/>
      </c>
      <c r="N874" s="20">
        <f>IF(B874="","",IF(ISNUMBER(C874),IF(COUNTIFS($M$3:$M$1026,M874,$C$3:$C$1026,"&gt;"&amp;C874)=0,"CURRENT","SUPERSEDED"),"CURRENT"))</f>
        <v/>
      </c>
      <c r="O874" s="19" t="n"/>
    </row>
    <row r="875">
      <c r="A875" s="19" t="n"/>
      <c r="B875" s="20" t="inlineStr">
        <is>
          <t>4503-XH-DL-8902-8915-5019-DW-03_Rev0</t>
        </is>
      </c>
      <c r="C875" s="21" t="n">
        <v>0</v>
      </c>
      <c r="D875" s="21" t="inlineStr">
        <is>
          <t>20.08.2026</t>
        </is>
      </c>
      <c r="E875" s="20" t="inlineStr">
        <is>
          <t>IFC - ISSUEDFOR CONSTRUCTION</t>
        </is>
      </c>
      <c r="F875" s="21" t="n">
        <v>8902</v>
      </c>
      <c r="G875" s="20" t="inlineStr">
        <is>
          <t>PIPE B36.10/36.19 A312 TP304/304L SMLS DUAL GRADE BE BE</t>
        </is>
      </c>
      <c r="H875" s="20" t="inlineStr">
        <is>
          <t>A312</t>
        </is>
      </c>
      <c r="I875" s="22" t="n">
        <v>6</v>
      </c>
      <c r="J875" s="21" t="inlineStr">
        <is>
          <t>10S</t>
        </is>
      </c>
      <c r="K875" s="20" t="inlineStr">
        <is>
          <t>I64082795</t>
        </is>
      </c>
      <c r="L875" s="22" t="n">
        <v>22.6</v>
      </c>
      <c r="M875" s="20">
        <f>IFERROR(LEFT(B875,SEARCH("_Rev",B875)-1),B875)</f>
        <v/>
      </c>
      <c r="N875" s="20">
        <f>IF(B875="","",IF(ISNUMBER(C875),IF(COUNTIFS($M$3:$M$1026,M875,$C$3:$C$1026,"&gt;"&amp;C875)=0,"CURRENT","SUPERSEDED"),"CURRENT"))</f>
        <v/>
      </c>
      <c r="O875" s="19" t="n"/>
    </row>
    <row r="876">
      <c r="A876" s="19" t="n"/>
      <c r="B876" s="20" t="inlineStr">
        <is>
          <t>4503-XH-DL-8902-8915-5019-DW-04_Rev0</t>
        </is>
      </c>
      <c r="C876" s="21" t="n">
        <v>0</v>
      </c>
      <c r="D876" s="21" t="inlineStr">
        <is>
          <t>20.08.2026</t>
        </is>
      </c>
      <c r="E876" s="20" t="inlineStr">
        <is>
          <t>IFC - ISSUEDFOR CONSTRUCTION</t>
        </is>
      </c>
      <c r="F876" s="21" t="n">
        <v>8902</v>
      </c>
      <c r="G876" s="20" t="inlineStr">
        <is>
          <t>PIPE B36.10/36.19 A312 TP304/304L SMLS DUAL GRADE BE BE</t>
        </is>
      </c>
      <c r="H876" s="20" t="inlineStr">
        <is>
          <t>A312</t>
        </is>
      </c>
      <c r="I876" s="22" t="n">
        <v>6</v>
      </c>
      <c r="J876" s="21" t="inlineStr">
        <is>
          <t>10S</t>
        </is>
      </c>
      <c r="K876" s="20" t="inlineStr">
        <is>
          <t>I64082795</t>
        </is>
      </c>
      <c r="L876" s="22" t="n">
        <v>19.3</v>
      </c>
      <c r="M876" s="20">
        <f>IFERROR(LEFT(B876,SEARCH("_Rev",B876)-1),B876)</f>
        <v/>
      </c>
      <c r="N876" s="20">
        <f>IF(B876="","",IF(ISNUMBER(C876),IF(COUNTIFS($M$3:$M$1026,M876,$C$3:$C$1026,"&gt;"&amp;C876)=0,"CURRENT","SUPERSEDED"),"CURRENT"))</f>
        <v/>
      </c>
      <c r="O876" s="19" t="n"/>
    </row>
    <row r="877">
      <c r="A877" s="19" t="n"/>
      <c r="B877" s="20" t="inlineStr">
        <is>
          <t>4503-XH-DL-8902-8915-5019-DW-04_Rev0</t>
        </is>
      </c>
      <c r="C877" s="21" t="n">
        <v>0</v>
      </c>
      <c r="D877" s="21" t="inlineStr">
        <is>
          <t>20.08.2026</t>
        </is>
      </c>
      <c r="E877" s="20" t="inlineStr">
        <is>
          <t>IFC - ISSUEDFOR CONSTRUCTION</t>
        </is>
      </c>
      <c r="F877" s="21" t="n">
        <v>8902</v>
      </c>
      <c r="G877" s="20" t="inlineStr">
        <is>
          <t>PIPE B36.10/36.19 A312 TP304/304L SMLS DUAL GRADE PE PE</t>
        </is>
      </c>
      <c r="H877" s="20" t="inlineStr">
        <is>
          <t>A312</t>
        </is>
      </c>
      <c r="I877" s="22" t="n">
        <v>1</v>
      </c>
      <c r="J877" s="21" t="inlineStr">
        <is>
          <t>40S</t>
        </is>
      </c>
      <c r="K877" s="20" t="inlineStr">
        <is>
          <t>I63243563</t>
        </is>
      </c>
      <c r="L877" s="22" t="n">
        <v>0.2</v>
      </c>
      <c r="M877" s="20">
        <f>IFERROR(LEFT(B877,SEARCH("_Rev",B877)-1),B877)</f>
        <v/>
      </c>
      <c r="N877" s="20">
        <f>IF(B877="","",IF(ISNUMBER(C877),IF(COUNTIFS($M$3:$M$1026,M877,$C$3:$C$1026,"&gt;"&amp;C877)=0,"CURRENT","SUPERSEDED"),"CURRENT"))</f>
        <v/>
      </c>
      <c r="O877" s="19" t="n"/>
    </row>
    <row r="878">
      <c r="A878" s="19" t="n"/>
      <c r="B878" s="20" t="inlineStr">
        <is>
          <t>4503-XH-DL-8902-8919-5084-DRW-01_Rev0</t>
        </is>
      </c>
      <c r="C878" s="21" t="n">
        <v>0</v>
      </c>
      <c r="D878" s="21" t="inlineStr">
        <is>
          <t>20.08.2026</t>
        </is>
      </c>
      <c r="E878" s="20" t="inlineStr">
        <is>
          <t>IFC - ISSUEDFOR CONSTRUCTION</t>
        </is>
      </c>
      <c r="F878" s="21" t="n">
        <v>8902</v>
      </c>
      <c r="G878" s="20" t="inlineStr">
        <is>
          <t>PIPE B36.10/36.19 A312 TP304/304L SMLS DUAL GRADE POTABLE WATER BE BE</t>
        </is>
      </c>
      <c r="H878" s="20" t="inlineStr">
        <is>
          <t>A312</t>
        </is>
      </c>
      <c r="I878" s="22" t="n">
        <v>6</v>
      </c>
      <c r="J878" s="21" t="inlineStr">
        <is>
          <t>10S</t>
        </is>
      </c>
      <c r="K878" s="20" t="inlineStr">
        <is>
          <t>I71891008</t>
        </is>
      </c>
      <c r="L878" s="22" t="n">
        <v>48</v>
      </c>
      <c r="M878" s="20">
        <f>IFERROR(LEFT(B878,SEARCH("_Rev",B878)-1),B878)</f>
        <v/>
      </c>
      <c r="N878" s="20">
        <f>IF(B878="","",IF(ISNUMBER(C878),IF(COUNTIFS($M$3:$M$1026,M878,$C$3:$C$1026,"&gt;"&amp;C878)=0,"CURRENT","SUPERSEDED"),"CURRENT"))</f>
        <v/>
      </c>
      <c r="O878" s="19" t="n"/>
    </row>
    <row r="879">
      <c r="A879" s="19" t="n"/>
      <c r="B879" s="20" t="inlineStr">
        <is>
          <t>4503-XH-DL-8902-8919-5084-DRW-02_Rev0</t>
        </is>
      </c>
      <c r="C879" s="21" t="n">
        <v>0</v>
      </c>
      <c r="D879" s="21" t="inlineStr">
        <is>
          <t>20.08.2026</t>
        </is>
      </c>
      <c r="E879" s="20" t="inlineStr">
        <is>
          <t>IFC - ISSUEDFOR CONSTRUCTION</t>
        </is>
      </c>
      <c r="F879" s="21" t="n">
        <v>8902</v>
      </c>
      <c r="G879" s="20" t="inlineStr">
        <is>
          <t>PIPE B36.10/36.19 A312 TP304/304L SMLS DUAL GRADE POTABLE WATER BE BE</t>
        </is>
      </c>
      <c r="H879" s="20" t="inlineStr">
        <is>
          <t>A312</t>
        </is>
      </c>
      <c r="I879" s="22" t="n">
        <v>6</v>
      </c>
      <c r="J879" s="21" t="inlineStr">
        <is>
          <t>10S</t>
        </is>
      </c>
      <c r="K879" s="20" t="inlineStr">
        <is>
          <t>I71891008</t>
        </is>
      </c>
      <c r="L879" s="22" t="n">
        <v>11.2</v>
      </c>
      <c r="M879" s="20">
        <f>IFERROR(LEFT(B879,SEARCH("_Rev",B879)-1),B879)</f>
        <v/>
      </c>
      <c r="N879" s="20">
        <f>IF(B879="","",IF(ISNUMBER(C879),IF(COUNTIFS($M$3:$M$1026,M879,$C$3:$C$1026,"&gt;"&amp;C879)=0,"CURRENT","SUPERSEDED"),"CURRENT"))</f>
        <v/>
      </c>
      <c r="O879" s="19" t="n"/>
    </row>
    <row r="880">
      <c r="A880" s="19" t="n"/>
      <c r="B880" s="20" t="inlineStr">
        <is>
          <t>4503-XH-DL-8902-8919-5089-DRW-01_Rev0</t>
        </is>
      </c>
      <c r="C880" s="21" t="n">
        <v>0</v>
      </c>
      <c r="D880" s="21" t="inlineStr">
        <is>
          <t>20.08.2026</t>
        </is>
      </c>
      <c r="E880" s="20" t="inlineStr">
        <is>
          <t>IFC - ISSUEDFOR CONSTRUCTION</t>
        </is>
      </c>
      <c r="F880" s="21" t="n">
        <v>8902</v>
      </c>
      <c r="G880" s="20" t="inlineStr">
        <is>
          <t>PIPE B36.10/36.19 A312 TP304/304L SMLS DUAL GRADE POTABLE WATER BE BE</t>
        </is>
      </c>
      <c r="H880" s="20" t="inlineStr">
        <is>
          <t>A312</t>
        </is>
      </c>
      <c r="I880" s="22" t="n">
        <v>6</v>
      </c>
      <c r="J880" s="21" t="inlineStr">
        <is>
          <t>10S</t>
        </is>
      </c>
      <c r="K880" s="20" t="inlineStr">
        <is>
          <t>I71891008</t>
        </is>
      </c>
      <c r="L880" s="22" t="n">
        <v>9.9</v>
      </c>
      <c r="M880" s="20">
        <f>IFERROR(LEFT(B880,SEARCH("_Rev",B880)-1),B880)</f>
        <v/>
      </c>
      <c r="N880" s="20">
        <f>IF(B880="","",IF(ISNUMBER(C880),IF(COUNTIFS($M$3:$M$1026,M880,$C$3:$C$1026,"&gt;"&amp;C880)=0,"CURRENT","SUPERSEDED"),"CURRENT"))</f>
        <v/>
      </c>
      <c r="O880" s="19" t="n"/>
    </row>
    <row r="881">
      <c r="A881" s="19" t="n"/>
      <c r="B881" s="20" t="inlineStr">
        <is>
          <t>4503-XH-DL-8902-8919-5089-DRW-02_Rev0</t>
        </is>
      </c>
      <c r="C881" s="21" t="n">
        <v>0</v>
      </c>
      <c r="D881" s="21" t="inlineStr">
        <is>
          <t>20.08.2026</t>
        </is>
      </c>
      <c r="E881" s="20" t="inlineStr">
        <is>
          <t>IFC - ISSUEDFOR CONSTRUCTION</t>
        </is>
      </c>
      <c r="F881" s="21" t="n">
        <v>8902</v>
      </c>
      <c r="G881" s="20" t="inlineStr">
        <is>
          <t>PIPE B36.10/36.19 A312 TP304/304L SMLS DUAL GRADE POTABLE WATER BE BE</t>
        </is>
      </c>
      <c r="H881" s="20" t="inlineStr">
        <is>
          <t>A312</t>
        </is>
      </c>
      <c r="I881" s="22" t="n">
        <v>6</v>
      </c>
      <c r="J881" s="21" t="inlineStr">
        <is>
          <t>10S</t>
        </is>
      </c>
      <c r="K881" s="20" t="inlineStr">
        <is>
          <t>I71891008</t>
        </is>
      </c>
      <c r="L881" s="22" t="n">
        <v>8.199999999999999</v>
      </c>
      <c r="M881" s="20">
        <f>IFERROR(LEFT(B881,SEARCH("_Rev",B881)-1),B881)</f>
        <v/>
      </c>
      <c r="N881" s="20">
        <f>IF(B881="","",IF(ISNUMBER(C881),IF(COUNTIFS($M$3:$M$1026,M881,$C$3:$C$1026,"&gt;"&amp;C881)=0,"CURRENT","SUPERSEDED"),"CURRENT"))</f>
        <v/>
      </c>
      <c r="O881" s="19" t="n"/>
    </row>
    <row r="882">
      <c r="A882" s="19" t="n"/>
      <c r="B882" s="20" t="inlineStr">
        <is>
          <t>4503-XH-DL-8902-8919-5089-DRW-03_Rev0</t>
        </is>
      </c>
      <c r="C882" s="21" t="n">
        <v>0</v>
      </c>
      <c r="D882" s="21" t="inlineStr">
        <is>
          <t>20.08.2026</t>
        </is>
      </c>
      <c r="E882" s="20" t="inlineStr">
        <is>
          <t>IFC - ISSUEDFOR CONSTRUCTION</t>
        </is>
      </c>
      <c r="F882" s="21" t="n">
        <v>8902</v>
      </c>
      <c r="G882" s="20" t="inlineStr">
        <is>
          <t>PIPE B36.10/36.19 A312 TP304/304L SMLS DUAL GRADE POTABLE WATER BE BE</t>
        </is>
      </c>
      <c r="H882" s="20" t="inlineStr">
        <is>
          <t>A312</t>
        </is>
      </c>
      <c r="I882" s="22" t="n">
        <v>6</v>
      </c>
      <c r="J882" s="21" t="inlineStr">
        <is>
          <t>10S</t>
        </is>
      </c>
      <c r="K882" s="20" t="inlineStr">
        <is>
          <t>I71891008</t>
        </is>
      </c>
      <c r="L882" s="22" t="n">
        <v>25.8</v>
      </c>
      <c r="M882" s="20">
        <f>IFERROR(LEFT(B882,SEARCH("_Rev",B882)-1),B882)</f>
        <v/>
      </c>
      <c r="N882" s="20">
        <f>IF(B882="","",IF(ISNUMBER(C882),IF(COUNTIFS($M$3:$M$1026,M882,$C$3:$C$1026,"&gt;"&amp;C882)=0,"CURRENT","SUPERSEDED"),"CURRENT"))</f>
        <v/>
      </c>
      <c r="O882" s="19" t="n"/>
    </row>
    <row r="883">
      <c r="A883" s="19" t="n"/>
      <c r="B883" s="20" t="inlineStr">
        <is>
          <t>4503-XH-DL-8902-8919-5089-DRW-04_Rev0</t>
        </is>
      </c>
      <c r="C883" s="21" t="n">
        <v>0</v>
      </c>
      <c r="D883" s="21" t="inlineStr">
        <is>
          <t>20.08.2026</t>
        </is>
      </c>
      <c r="E883" s="20" t="inlineStr">
        <is>
          <t>IFC - ISSUEDFOR CONSTRUCTION</t>
        </is>
      </c>
      <c r="F883" s="21" t="n">
        <v>8902</v>
      </c>
      <c r="G883" s="20" t="inlineStr">
        <is>
          <t>PIPE B36.10/36.19 A312 TP304/304L SMLS DUAL GRADE POTABLE WATER BE BE</t>
        </is>
      </c>
      <c r="H883" s="20" t="inlineStr">
        <is>
          <t>A312</t>
        </is>
      </c>
      <c r="I883" s="22" t="n">
        <v>6</v>
      </c>
      <c r="J883" s="21" t="inlineStr">
        <is>
          <t>10S</t>
        </is>
      </c>
      <c r="K883" s="20" t="inlineStr">
        <is>
          <t>I71891008</t>
        </is>
      </c>
      <c r="L883" s="22" t="n">
        <v>27.9</v>
      </c>
      <c r="M883" s="20">
        <f>IFERROR(LEFT(B883,SEARCH("_Rev",B883)-1),B883)</f>
        <v/>
      </c>
      <c r="N883" s="20">
        <f>IF(B883="","",IF(ISNUMBER(C883),IF(COUNTIFS($M$3:$M$1026,M883,$C$3:$C$1026,"&gt;"&amp;C883)=0,"CURRENT","SUPERSEDED"),"CURRENT"))</f>
        <v/>
      </c>
      <c r="O883" s="19" t="n"/>
    </row>
    <row r="884">
      <c r="A884" s="19" t="n"/>
      <c r="B884" s="20" t="inlineStr">
        <is>
          <t>4503-XH-DL-8902-8919-5089-DRW-04_Rev0</t>
        </is>
      </c>
      <c r="C884" s="21" t="n">
        <v>0</v>
      </c>
      <c r="D884" s="21" t="inlineStr">
        <is>
          <t>20.08.2026</t>
        </is>
      </c>
      <c r="E884" s="20" t="inlineStr">
        <is>
          <t>IFC - ISSUEDFOR CONSTRUCTION</t>
        </is>
      </c>
      <c r="F884" s="21" t="n">
        <v>8902</v>
      </c>
      <c r="G884" s="20" t="inlineStr">
        <is>
          <t>PIPE B36.10/36.19 A312 TP304/304L SMLS DUAL GRADE POTABLE WATER PE PE</t>
        </is>
      </c>
      <c r="H884" s="20" t="inlineStr">
        <is>
          <t>A312</t>
        </is>
      </c>
      <c r="I884" s="22" t="n">
        <v>1</v>
      </c>
      <c r="J884" s="21" t="inlineStr">
        <is>
          <t>40S</t>
        </is>
      </c>
      <c r="K884" s="20" t="inlineStr">
        <is>
          <t>I71860172</t>
        </is>
      </c>
      <c r="L884" s="22" t="n">
        <v>0.2</v>
      </c>
      <c r="M884" s="20">
        <f>IFERROR(LEFT(B884,SEARCH("_Rev",B884)-1),B884)</f>
        <v/>
      </c>
      <c r="N884" s="20">
        <f>IF(B884="","",IF(ISNUMBER(C884),IF(COUNTIFS($M$3:$M$1026,M884,$C$3:$C$1026,"&gt;"&amp;C884)=0,"CURRENT","SUPERSEDED"),"CURRENT"))</f>
        <v/>
      </c>
      <c r="O884" s="19" t="n"/>
    </row>
    <row r="885">
      <c r="A885" s="19" t="n"/>
      <c r="B885" s="20" t="inlineStr">
        <is>
          <t>4503-XH-DL-8902-8919-5091-DRW-01_Rev0</t>
        </is>
      </c>
      <c r="C885" s="21" t="n">
        <v>0</v>
      </c>
      <c r="D885" s="21" t="inlineStr">
        <is>
          <t>20.08.2026</t>
        </is>
      </c>
      <c r="E885" s="20" t="inlineStr">
        <is>
          <t>IFC - ISSUEDFOR CONSTRUCTION</t>
        </is>
      </c>
      <c r="F885" s="21" t="n">
        <v>8902</v>
      </c>
      <c r="G885" s="20" t="inlineStr">
        <is>
          <t>PIPE B36.10/36.19 A358 304/304L CL.1 DUAL GRADE POTABLE WATER BE BE</t>
        </is>
      </c>
      <c r="H885" s="20" t="inlineStr">
        <is>
          <t>A358</t>
        </is>
      </c>
      <c r="I885" s="22" t="n">
        <v>8</v>
      </c>
      <c r="J885" s="21" t="inlineStr">
        <is>
          <t>10S</t>
        </is>
      </c>
      <c r="K885" s="20" t="inlineStr">
        <is>
          <t>I71857060</t>
        </is>
      </c>
      <c r="L885" s="22" t="n">
        <v>0.5</v>
      </c>
      <c r="M885" s="20">
        <f>IFERROR(LEFT(B885,SEARCH("_Rev",B885)-1),B885)</f>
        <v/>
      </c>
      <c r="N885" s="20">
        <f>IF(B885="","",IF(ISNUMBER(C885),IF(COUNTIFS($M$3:$M$1026,M885,$C$3:$C$1026,"&gt;"&amp;C885)=0,"CURRENT","SUPERSEDED"),"CURRENT"))</f>
        <v/>
      </c>
      <c r="O885" s="19" t="n"/>
    </row>
    <row r="886">
      <c r="A886" s="19" t="n"/>
      <c r="B886" s="20" t="inlineStr">
        <is>
          <t>4503-XH-DL-8902-8919-5091-DRW-01_Rev0</t>
        </is>
      </c>
      <c r="C886" s="21" t="n">
        <v>0</v>
      </c>
      <c r="D886" s="21" t="inlineStr">
        <is>
          <t>20.08.2026</t>
        </is>
      </c>
      <c r="E886" s="20" t="inlineStr">
        <is>
          <t>IFC - ISSUEDFOR CONSTRUCTION</t>
        </is>
      </c>
      <c r="F886" s="21" t="n">
        <v>8902</v>
      </c>
      <c r="G886" s="20" t="inlineStr">
        <is>
          <t>PIPE B36.10/36.19 A312 TP304/304L SMLS DUAL GRADE POTABLE WATER BE BE</t>
        </is>
      </c>
      <c r="H886" s="20" t="inlineStr">
        <is>
          <t>A312</t>
        </is>
      </c>
      <c r="I886" s="22" t="n">
        <v>6</v>
      </c>
      <c r="J886" s="21" t="inlineStr">
        <is>
          <t>10S</t>
        </is>
      </c>
      <c r="K886" s="20" t="inlineStr">
        <is>
          <t>I71891008</t>
        </is>
      </c>
      <c r="L886" s="22" t="n">
        <v>47.7</v>
      </c>
      <c r="M886" s="20">
        <f>IFERROR(LEFT(B886,SEARCH("_Rev",B886)-1),B886)</f>
        <v/>
      </c>
      <c r="N886" s="20">
        <f>IF(B886="","",IF(ISNUMBER(C886),IF(COUNTIFS($M$3:$M$1026,M886,$C$3:$C$1026,"&gt;"&amp;C886)=0,"CURRENT","SUPERSEDED"),"CURRENT"))</f>
        <v/>
      </c>
      <c r="O886" s="19" t="n"/>
    </row>
    <row r="887">
      <c r="A887" s="19" t="n"/>
      <c r="B887" s="20" t="inlineStr">
        <is>
          <t>4503-XH-DL-8902-8919-5091-DRW-02_Rev0</t>
        </is>
      </c>
      <c r="C887" s="21" t="n">
        <v>0</v>
      </c>
      <c r="D887" s="21" t="inlineStr">
        <is>
          <t>20.08.2026</t>
        </is>
      </c>
      <c r="E887" s="20" t="inlineStr">
        <is>
          <t>IFC - ISSUEDFOR CONSTRUCTION</t>
        </is>
      </c>
      <c r="F887" s="21" t="n">
        <v>8902</v>
      </c>
      <c r="G887" s="20" t="inlineStr">
        <is>
          <t>PIPE B36.10/36.19 A312 TP304/304L SMLS DUAL GRADE POTABLE WATER BE BE</t>
        </is>
      </c>
      <c r="H887" s="20" t="inlineStr">
        <is>
          <t>A312</t>
        </is>
      </c>
      <c r="I887" s="22" t="n">
        <v>6</v>
      </c>
      <c r="J887" s="21" t="inlineStr">
        <is>
          <t>10S</t>
        </is>
      </c>
      <c r="K887" s="20" t="inlineStr">
        <is>
          <t>I71891008</t>
        </is>
      </c>
      <c r="L887" s="22" t="n">
        <v>38.2</v>
      </c>
      <c r="M887" s="20">
        <f>IFERROR(LEFT(B887,SEARCH("_Rev",B887)-1),B887)</f>
        <v/>
      </c>
      <c r="N887" s="20">
        <f>IF(B887="","",IF(ISNUMBER(C887),IF(COUNTIFS($M$3:$M$1026,M887,$C$3:$C$1026,"&gt;"&amp;C887)=0,"CURRENT","SUPERSEDED"),"CURRENT"))</f>
        <v/>
      </c>
      <c r="O887" s="19" t="n"/>
    </row>
    <row r="888">
      <c r="A888" s="19" t="n"/>
      <c r="B888" s="20" t="inlineStr">
        <is>
          <t>4503-XH-DL-8902-8919-5091-DRW-03_Rev0</t>
        </is>
      </c>
      <c r="C888" s="21" t="n">
        <v>0</v>
      </c>
      <c r="D888" s="21" t="inlineStr">
        <is>
          <t>20.08.2026</t>
        </is>
      </c>
      <c r="E888" s="20" t="inlineStr">
        <is>
          <t>IFC - ISSUEDFOR CONSTRUCTION</t>
        </is>
      </c>
      <c r="F888" s="21" t="n">
        <v>8902</v>
      </c>
      <c r="G888" s="20" t="inlineStr">
        <is>
          <t>PIPE B36.10/36.19 A312 TP304/304L SMLS DUAL GRADE POTABLE WATER BE BE</t>
        </is>
      </c>
      <c r="H888" s="20" t="inlineStr">
        <is>
          <t>A312</t>
        </is>
      </c>
      <c r="I888" s="22" t="n">
        <v>6</v>
      </c>
      <c r="J888" s="21" t="inlineStr">
        <is>
          <t>10S</t>
        </is>
      </c>
      <c r="K888" s="20" t="inlineStr">
        <is>
          <t>I71891008</t>
        </is>
      </c>
      <c r="L888" s="22" t="n">
        <v>19.9</v>
      </c>
      <c r="M888" s="20">
        <f>IFERROR(LEFT(B888,SEARCH("_Rev",B888)-1),B888)</f>
        <v/>
      </c>
      <c r="N888" s="20">
        <f>IF(B888="","",IF(ISNUMBER(C888),IF(COUNTIFS($M$3:$M$1026,M888,$C$3:$C$1026,"&gt;"&amp;C888)=0,"CURRENT","SUPERSEDED"),"CURRENT"))</f>
        <v/>
      </c>
      <c r="O888" s="19" t="n"/>
    </row>
    <row r="889">
      <c r="A889" s="19" t="n"/>
      <c r="B889" s="20" t="inlineStr">
        <is>
          <t>4503-XH-DL-8902-8919-5091-DRW-04_Rev0</t>
        </is>
      </c>
      <c r="C889" s="21" t="n">
        <v>0</v>
      </c>
      <c r="D889" s="21" t="inlineStr">
        <is>
          <t>20.08.2026</t>
        </is>
      </c>
      <c r="E889" s="20" t="inlineStr">
        <is>
          <t>IFC - ISSUEDFOR CONSTRUCTION</t>
        </is>
      </c>
      <c r="F889" s="21" t="n">
        <v>8902</v>
      </c>
      <c r="G889" s="20" t="inlineStr">
        <is>
          <t>PIPE B36.10/36.19 A312 TP304/304L SMLS DUAL GRADE POTABLE WATER BE BE</t>
        </is>
      </c>
      <c r="H889" s="20" t="inlineStr">
        <is>
          <t>A312</t>
        </is>
      </c>
      <c r="I889" s="22" t="n">
        <v>6</v>
      </c>
      <c r="J889" s="21" t="inlineStr">
        <is>
          <t>10S</t>
        </is>
      </c>
      <c r="K889" s="20" t="inlineStr">
        <is>
          <t>I71891008</t>
        </is>
      </c>
      <c r="L889" s="22" t="n">
        <v>19.7</v>
      </c>
      <c r="M889" s="20">
        <f>IFERROR(LEFT(B889,SEARCH("_Rev",B889)-1),B889)</f>
        <v/>
      </c>
      <c r="N889" s="20">
        <f>IF(B889="","",IF(ISNUMBER(C889),IF(COUNTIFS($M$3:$M$1026,M889,$C$3:$C$1026,"&gt;"&amp;C889)=0,"CURRENT","SUPERSEDED"),"CURRENT"))</f>
        <v/>
      </c>
      <c r="O889" s="19" t="n"/>
    </row>
    <row r="890">
      <c r="A890" s="19" t="n"/>
      <c r="B890" s="20" t="inlineStr">
        <is>
          <t>4503-XH-DL-8902-8919-5091-DRW-04_Rev0</t>
        </is>
      </c>
      <c r="C890" s="21" t="n">
        <v>0</v>
      </c>
      <c r="D890" s="21" t="inlineStr">
        <is>
          <t>20.08.2026</t>
        </is>
      </c>
      <c r="E890" s="20" t="inlineStr">
        <is>
          <t>IFC - ISSUEDFOR CONSTRUCTION</t>
        </is>
      </c>
      <c r="F890" s="21" t="n">
        <v>8902</v>
      </c>
      <c r="G890" s="20" t="inlineStr">
        <is>
          <t>PIPE B36.10/36.19 A312 TP304/304L SMLS DUAL GRADE POTABLE WATER PE PE</t>
        </is>
      </c>
      <c r="H890" s="20" t="inlineStr">
        <is>
          <t>A312</t>
        </is>
      </c>
      <c r="I890" s="22" t="n">
        <v>1</v>
      </c>
      <c r="J890" s="21" t="inlineStr">
        <is>
          <t>40S</t>
        </is>
      </c>
      <c r="K890" s="20" t="inlineStr">
        <is>
          <t>I71860172</t>
        </is>
      </c>
      <c r="L890" s="22" t="n">
        <v>0.2</v>
      </c>
      <c r="M890" s="20">
        <f>IFERROR(LEFT(B890,SEARCH("_Rev",B890)-1),B890)</f>
        <v/>
      </c>
      <c r="N890" s="20">
        <f>IF(B890="","",IF(ISNUMBER(C890),IF(COUNTIFS($M$3:$M$1026,M890,$C$3:$C$1026,"&gt;"&amp;C890)=0,"CURRENT","SUPERSEDED"),"CURRENT"))</f>
        <v/>
      </c>
      <c r="O890" s="19" t="n"/>
    </row>
    <row r="891">
      <c r="A891" s="19" t="n"/>
      <c r="B891" s="20" t="inlineStr">
        <is>
          <t>4503-XH-DL-8903-8915-5019-DW-03_Rev0</t>
        </is>
      </c>
      <c r="C891" s="21" t="n">
        <v>0</v>
      </c>
      <c r="D891" s="21" t="inlineStr">
        <is>
          <t>20.08.2026</t>
        </is>
      </c>
      <c r="E891" s="20" t="inlineStr">
        <is>
          <t>IFC - ISSUEDFOR CONSTRUCTION</t>
        </is>
      </c>
      <c r="F891" s="21" t="n">
        <v>8903</v>
      </c>
      <c r="G891" s="20" t="inlineStr">
        <is>
          <t>PIPE B36.10/36.19 A312 TP304/304L SMLS DUAL GRADE BE BE</t>
        </is>
      </c>
      <c r="H891" s="20" t="inlineStr">
        <is>
          <t>A312</t>
        </is>
      </c>
      <c r="I891" s="22" t="n">
        <v>6</v>
      </c>
      <c r="J891" s="21" t="inlineStr">
        <is>
          <t>10S</t>
        </is>
      </c>
      <c r="K891" s="20" t="inlineStr">
        <is>
          <t>I64082795</t>
        </is>
      </c>
      <c r="L891" s="22" t="n">
        <v>56</v>
      </c>
      <c r="M891" s="20">
        <f>IFERROR(LEFT(B891,SEARCH("_Rev",B891)-1),B891)</f>
        <v/>
      </c>
      <c r="N891" s="20">
        <f>IF(B891="","",IF(ISNUMBER(C891),IF(COUNTIFS($M$3:$M$1026,M891,$C$3:$C$1026,"&gt;"&amp;C891)=0,"CURRENT","SUPERSEDED"),"CURRENT"))</f>
        <v/>
      </c>
      <c r="O891" s="19" t="n"/>
    </row>
    <row r="892">
      <c r="A892" s="19" t="n"/>
      <c r="B892" s="20" t="inlineStr">
        <is>
          <t>4503-XH-DL-8903-8919-5078-DRW-01_Rev0</t>
        </is>
      </c>
      <c r="C892" s="21" t="n">
        <v>0</v>
      </c>
      <c r="D892" s="21" t="inlineStr">
        <is>
          <t>20.08.2026</t>
        </is>
      </c>
      <c r="E892" s="20" t="inlineStr">
        <is>
          <t>IFC - ISSUEDFOR CONSTRUCTION</t>
        </is>
      </c>
      <c r="F892" s="21" t="n">
        <v>8903</v>
      </c>
      <c r="G892" s="20" t="inlineStr">
        <is>
          <t>PIPE B36.10/36.19 A312 TP304/304L SMLS DUAL GRADE POTABLE WATER BE BE</t>
        </is>
      </c>
      <c r="H892" s="20" t="inlineStr">
        <is>
          <t>A312</t>
        </is>
      </c>
      <c r="I892" s="22" t="n">
        <v>3</v>
      </c>
      <c r="J892" s="21" t="inlineStr">
        <is>
          <t>10S</t>
        </is>
      </c>
      <c r="K892" s="20" t="inlineStr">
        <is>
          <t>I71891007</t>
        </is>
      </c>
      <c r="L892" s="22" t="n">
        <v>6</v>
      </c>
      <c r="M892" s="20">
        <f>IFERROR(LEFT(B892,SEARCH("_Rev",B892)-1),B892)</f>
        <v/>
      </c>
      <c r="N892" s="20">
        <f>IF(B892="","",IF(ISNUMBER(C892),IF(COUNTIFS($M$3:$M$1026,M892,$C$3:$C$1026,"&gt;"&amp;C892)=0,"CURRENT","SUPERSEDED"),"CURRENT"))</f>
        <v/>
      </c>
      <c r="O892" s="19" t="n"/>
    </row>
    <row r="893">
      <c r="A893" s="19" t="n"/>
      <c r="B893" s="20" t="inlineStr">
        <is>
          <t>4503-XH-DL-8903-8919-5083-DRW-01_Rev0</t>
        </is>
      </c>
      <c r="C893" s="21" t="n">
        <v>0</v>
      </c>
      <c r="D893" s="21" t="inlineStr">
        <is>
          <t>20.08.2026</t>
        </is>
      </c>
      <c r="E893" s="20" t="inlineStr">
        <is>
          <t>IFC - ISSUEDFOR CONSTRUCTION</t>
        </is>
      </c>
      <c r="F893" s="21" t="n">
        <v>8903</v>
      </c>
      <c r="G893" s="20" t="inlineStr">
        <is>
          <t>PIPE B36.10/36.19 A312 TP304/304L SMLS DUAL GRADE POTABLE WATER BE BE</t>
        </is>
      </c>
      <c r="H893" s="20" t="inlineStr">
        <is>
          <t>A312</t>
        </is>
      </c>
      <c r="I893" s="22" t="n">
        <v>3</v>
      </c>
      <c r="J893" s="21" t="inlineStr">
        <is>
          <t>10S</t>
        </is>
      </c>
      <c r="K893" s="20" t="inlineStr">
        <is>
          <t>I71891007</t>
        </is>
      </c>
      <c r="L893" s="22" t="n">
        <v>8.699999999999999</v>
      </c>
      <c r="M893" s="20">
        <f>IFERROR(LEFT(B893,SEARCH("_Rev",B893)-1),B893)</f>
        <v/>
      </c>
      <c r="N893" s="20">
        <f>IF(B893="","",IF(ISNUMBER(C893),IF(COUNTIFS($M$3:$M$1026,M893,$C$3:$C$1026,"&gt;"&amp;C893)=0,"CURRENT","SUPERSEDED"),"CURRENT"))</f>
        <v/>
      </c>
      <c r="O893" s="19" t="n"/>
    </row>
    <row r="894">
      <c r="A894" s="19" t="n"/>
      <c r="B894" s="20" t="inlineStr">
        <is>
          <t>4503-XH-DL-8903-8919-5091-DRW-01_Rev0</t>
        </is>
      </c>
      <c r="C894" s="21" t="n">
        <v>0</v>
      </c>
      <c r="D894" s="21" t="inlineStr">
        <is>
          <t>20.08.2026</t>
        </is>
      </c>
      <c r="E894" s="20" t="inlineStr">
        <is>
          <t>IFC - ISSUEDFOR CONSTRUCTION</t>
        </is>
      </c>
      <c r="F894" s="21" t="n">
        <v>8903</v>
      </c>
      <c r="G894" s="20" t="inlineStr">
        <is>
          <t>PIPE B36.10/36.19 A312 TP304/304L SMLS DUAL GRADE POTABLE WATER BE BE</t>
        </is>
      </c>
      <c r="H894" s="20" t="inlineStr">
        <is>
          <t>A312</t>
        </is>
      </c>
      <c r="I894" s="22" t="n">
        <v>6</v>
      </c>
      <c r="J894" s="21" t="inlineStr">
        <is>
          <t>10S</t>
        </is>
      </c>
      <c r="K894" s="20" t="inlineStr">
        <is>
          <t>I71891008</t>
        </is>
      </c>
      <c r="L894" s="22" t="n">
        <v>57.3</v>
      </c>
      <c r="M894" s="20">
        <f>IFERROR(LEFT(B894,SEARCH("_Rev",B894)-1),B894)</f>
        <v/>
      </c>
      <c r="N894" s="20">
        <f>IF(B894="","",IF(ISNUMBER(C894),IF(COUNTIFS($M$3:$M$1026,M894,$C$3:$C$1026,"&gt;"&amp;C894)=0,"CURRENT","SUPERSEDED"),"CURRENT"))</f>
        <v/>
      </c>
      <c r="O894" s="19" t="n"/>
    </row>
    <row r="895">
      <c r="A895" s="19" t="n"/>
      <c r="B895" s="20" t="inlineStr">
        <is>
          <t>4503-XH-DL-8903-8919-5091-DRW-02_Rev0</t>
        </is>
      </c>
      <c r="C895" s="21" t="n">
        <v>0</v>
      </c>
      <c r="D895" s="21" t="inlineStr">
        <is>
          <t>20.08.2026</t>
        </is>
      </c>
      <c r="E895" s="20" t="inlineStr">
        <is>
          <t>IFC - ISSUEDFOR CONSTRUCTION</t>
        </is>
      </c>
      <c r="F895" s="21" t="n">
        <v>8903</v>
      </c>
      <c r="G895" s="20" t="inlineStr">
        <is>
          <t>PIPE B36.10/36.19 A312 TP304/304L SMLS DUAL GRADE POTABLE WATER BE BE</t>
        </is>
      </c>
      <c r="H895" s="20" t="inlineStr">
        <is>
          <t>A312</t>
        </is>
      </c>
      <c r="I895" s="22" t="n">
        <v>6</v>
      </c>
      <c r="J895" s="21" t="inlineStr">
        <is>
          <t>10S</t>
        </is>
      </c>
      <c r="K895" s="20" t="inlineStr">
        <is>
          <t>I71891008</t>
        </is>
      </c>
      <c r="L895" s="22" t="n">
        <v>59.8</v>
      </c>
      <c r="M895" s="20">
        <f>IFERROR(LEFT(B895,SEARCH("_Rev",B895)-1),B895)</f>
        <v/>
      </c>
      <c r="N895" s="20">
        <f>IF(B895="","",IF(ISNUMBER(C895),IF(COUNTIFS($M$3:$M$1026,M895,$C$3:$C$1026,"&gt;"&amp;C895)=0,"CURRENT","SUPERSEDED"),"CURRENT"))</f>
        <v/>
      </c>
      <c r="O895" s="19" t="n"/>
    </row>
    <row r="896">
      <c r="A896" s="19" t="n"/>
      <c r="B896" s="20" t="inlineStr">
        <is>
          <t>4503-XH-DL-8903-8919-5091-DRW-03_Rev0</t>
        </is>
      </c>
      <c r="C896" s="21" t="n">
        <v>0</v>
      </c>
      <c r="D896" s="21" t="inlineStr">
        <is>
          <t>20.08.2026</t>
        </is>
      </c>
      <c r="E896" s="20" t="inlineStr">
        <is>
          <t>IFC - ISSUEDFOR CONSTRUCTION</t>
        </is>
      </c>
      <c r="F896" s="21" t="n">
        <v>8903</v>
      </c>
      <c r="G896" s="20" t="inlineStr">
        <is>
          <t>PIPE B36.10/36.19 A312 TP304/304L SMLS DUAL GRADE POTABLE WATER BE BE</t>
        </is>
      </c>
      <c r="H896" s="20" t="inlineStr">
        <is>
          <t>A312</t>
        </is>
      </c>
      <c r="I896" s="22" t="n">
        <v>6</v>
      </c>
      <c r="J896" s="21" t="inlineStr">
        <is>
          <t>10S</t>
        </is>
      </c>
      <c r="K896" s="20" t="inlineStr">
        <is>
          <t>I71891008</t>
        </is>
      </c>
      <c r="L896" s="22" t="n">
        <v>56</v>
      </c>
      <c r="M896" s="20">
        <f>IFERROR(LEFT(B896,SEARCH("_Rev",B896)-1),B896)</f>
        <v/>
      </c>
      <c r="N896" s="20">
        <f>IF(B896="","",IF(ISNUMBER(C896),IF(COUNTIFS($M$3:$M$1026,M896,$C$3:$C$1026,"&gt;"&amp;C896)=0,"CURRENT","SUPERSEDED"),"CURRENT"))</f>
        <v/>
      </c>
      <c r="O896" s="19" t="n"/>
    </row>
    <row r="897">
      <c r="A897" s="19" t="n"/>
      <c r="B897" s="20" t="inlineStr">
        <is>
          <t>4503-XH-DL-8903-8972-5002-IPE-01_Rev0</t>
        </is>
      </c>
      <c r="C897" s="21" t="n">
        <v>0</v>
      </c>
      <c r="D897" s="21" t="inlineStr">
        <is>
          <t>13.08.2026</t>
        </is>
      </c>
      <c r="E897" s="20" t="inlineStr">
        <is>
          <t>IFC - ISSUED FOR CONSTRUCTION</t>
        </is>
      </c>
      <c r="F897" s="21" t="n">
        <v>8903</v>
      </c>
      <c r="G897" s="20" t="inlineStr">
        <is>
          <t>PIPE B36.10/36.19 A333 6-SMLS BE BE</t>
        </is>
      </c>
      <c r="H897" s="20" t="inlineStr">
        <is>
          <t>A333</t>
        </is>
      </c>
      <c r="I897" s="22" t="n">
        <v>2</v>
      </c>
      <c r="J897" s="21" t="inlineStr">
        <is>
          <t>XS</t>
        </is>
      </c>
      <c r="K897" s="20" t="inlineStr">
        <is>
          <t>I64108762</t>
        </is>
      </c>
      <c r="L897" s="22" t="n">
        <v>61.6</v>
      </c>
      <c r="M897" s="20">
        <f>IFERROR(LEFT(B897,SEARCH("_Rev",B897)-1),B897)</f>
        <v/>
      </c>
      <c r="N897" s="20">
        <f>IF(B897="","",IF(ISNUMBER(C897),IF(COUNTIFS($M$3:$M$1026,M897,$C$3:$C$1026,"&gt;"&amp;C897)=0,"CURRENT","SUPERSEDED"),"CURRENT"))</f>
        <v/>
      </c>
      <c r="O897" s="19" t="n"/>
    </row>
    <row r="898">
      <c r="A898" s="19" t="n"/>
      <c r="B898" s="20" t="inlineStr">
        <is>
          <t>4503-XH-DL-8903-8972-5002-IPE-02_Rev0</t>
        </is>
      </c>
      <c r="C898" s="21" t="n">
        <v>0</v>
      </c>
      <c r="D898" s="21" t="inlineStr">
        <is>
          <t>13.08.2026</t>
        </is>
      </c>
      <c r="E898" s="20" t="inlineStr">
        <is>
          <t>IFC - ISSUED FOR CONSTRUCTION</t>
        </is>
      </c>
      <c r="F898" s="21" t="n">
        <v>8903</v>
      </c>
      <c r="G898" s="20" t="inlineStr">
        <is>
          <t>PIPE B36.10/36.19 A333 6-SMLS BE BE</t>
        </is>
      </c>
      <c r="H898" s="20" t="inlineStr">
        <is>
          <t>A333</t>
        </is>
      </c>
      <c r="I898" s="22" t="n">
        <v>2</v>
      </c>
      <c r="J898" s="21" t="inlineStr">
        <is>
          <t>XS</t>
        </is>
      </c>
      <c r="K898" s="20" t="inlineStr">
        <is>
          <t>I64108762</t>
        </is>
      </c>
      <c r="L898" s="22" t="n">
        <v>59.8</v>
      </c>
      <c r="M898" s="20">
        <f>IFERROR(LEFT(B898,SEARCH("_Rev",B898)-1),B898)</f>
        <v/>
      </c>
      <c r="N898" s="20">
        <f>IF(B898="","",IF(ISNUMBER(C898),IF(COUNTIFS($M$3:$M$1026,M898,$C$3:$C$1026,"&gt;"&amp;C898)=0,"CURRENT","SUPERSEDED"),"CURRENT"))</f>
        <v/>
      </c>
      <c r="O898" s="19" t="n"/>
    </row>
    <row r="899">
      <c r="A899" s="19" t="n"/>
      <c r="B899" s="20" t="inlineStr">
        <is>
          <t>4503-XH-DL-8903-8972-5002-IPE-03_Rev0</t>
        </is>
      </c>
      <c r="C899" s="21" t="n">
        <v>0</v>
      </c>
      <c r="D899" s="21" t="inlineStr">
        <is>
          <t>13.08.2026</t>
        </is>
      </c>
      <c r="E899" s="20" t="inlineStr">
        <is>
          <t>IFC - ISSUED FOR CONSTRUCTION</t>
        </is>
      </c>
      <c r="F899" s="21" t="n">
        <v>8903</v>
      </c>
      <c r="G899" s="20" t="inlineStr">
        <is>
          <t>PIPE B36.10/36.19 A333 6-SMLS BE BE</t>
        </is>
      </c>
      <c r="H899" s="20" t="inlineStr">
        <is>
          <t>A333</t>
        </is>
      </c>
      <c r="I899" s="22" t="n">
        <v>2</v>
      </c>
      <c r="J899" s="21" t="inlineStr">
        <is>
          <t>XS</t>
        </is>
      </c>
      <c r="K899" s="20" t="inlineStr">
        <is>
          <t>I64108762</t>
        </is>
      </c>
      <c r="L899" s="22" t="n">
        <v>17.3</v>
      </c>
      <c r="M899" s="20">
        <f>IFERROR(LEFT(B899,SEARCH("_Rev",B899)-1),B899)</f>
        <v/>
      </c>
      <c r="N899" s="20">
        <f>IF(B899="","",IF(ISNUMBER(C899),IF(COUNTIFS($M$3:$M$1026,M899,$C$3:$C$1026,"&gt;"&amp;C899)=0,"CURRENT","SUPERSEDED"),"CURRENT"))</f>
        <v/>
      </c>
      <c r="O899" s="19" t="n"/>
    </row>
    <row r="900">
      <c r="A900" s="19" t="n"/>
      <c r="B900" s="20" t="inlineStr">
        <is>
          <t>4503-XH-DL-8903-8972-5004-IPE-01_Rev0</t>
        </is>
      </c>
      <c r="C900" s="21" t="n">
        <v>0</v>
      </c>
      <c r="D900" s="21" t="inlineStr">
        <is>
          <t>13.08.2026</t>
        </is>
      </c>
      <c r="E900" s="20" t="inlineStr">
        <is>
          <t>IFC - ISSUED FOR CONSTRUCTION</t>
        </is>
      </c>
      <c r="F900" s="21" t="n">
        <v>8903</v>
      </c>
      <c r="G900" s="20" t="inlineStr">
        <is>
          <t>PIPE B36.10/36.19 A333 6-SMLS BE BE</t>
        </is>
      </c>
      <c r="H900" s="20" t="inlineStr">
        <is>
          <t>A333</t>
        </is>
      </c>
      <c r="I900" s="22" t="n">
        <v>2</v>
      </c>
      <c r="J900" s="21" t="inlineStr">
        <is>
          <t>XS</t>
        </is>
      </c>
      <c r="K900" s="20" t="inlineStr">
        <is>
          <t>I64108762</t>
        </is>
      </c>
      <c r="L900" s="22" t="n">
        <v>45.4</v>
      </c>
      <c r="M900" s="20">
        <f>IFERROR(LEFT(B900,SEARCH("_Rev",B900)-1),B900)</f>
        <v/>
      </c>
      <c r="N900" s="20">
        <f>IF(B900="","",IF(ISNUMBER(C900),IF(COUNTIFS($M$3:$M$1026,M900,$C$3:$C$1026,"&gt;"&amp;C900)=0,"CURRENT","SUPERSEDED"),"CURRENT"))</f>
        <v/>
      </c>
      <c r="O900" s="19" t="n"/>
    </row>
    <row r="901">
      <c r="A901" s="19" t="n"/>
      <c r="B901" s="20" t="inlineStr">
        <is>
          <t>4503-XH-DL-8903-8972-5004-IPE-02_Rev0</t>
        </is>
      </c>
      <c r="C901" s="21" t="n">
        <v>0</v>
      </c>
      <c r="D901" s="21" t="inlineStr">
        <is>
          <t>13.08.2026</t>
        </is>
      </c>
      <c r="E901" s="20" t="inlineStr">
        <is>
          <t>IFC - ISSUED FOR CONSTRUCTION</t>
        </is>
      </c>
      <c r="F901" s="21" t="n">
        <v>8903</v>
      </c>
      <c r="G901" s="20" t="inlineStr">
        <is>
          <t>PIPE B36.10/36.19 A333 6-SMLS BE BE</t>
        </is>
      </c>
      <c r="H901" s="20" t="inlineStr">
        <is>
          <t>A333</t>
        </is>
      </c>
      <c r="I901" s="22" t="n">
        <v>2</v>
      </c>
      <c r="J901" s="21" t="inlineStr">
        <is>
          <t>XS</t>
        </is>
      </c>
      <c r="K901" s="20" t="inlineStr">
        <is>
          <t>I64108762</t>
        </is>
      </c>
      <c r="L901" s="22" t="n">
        <v>59.8</v>
      </c>
      <c r="M901" s="20">
        <f>IFERROR(LEFT(B901,SEARCH("_Rev",B901)-1),B901)</f>
        <v/>
      </c>
      <c r="N901" s="20">
        <f>IF(B901="","",IF(ISNUMBER(C901),IF(COUNTIFS($M$3:$M$1026,M901,$C$3:$C$1026,"&gt;"&amp;C901)=0,"CURRENT","SUPERSEDED"),"CURRENT"))</f>
        <v/>
      </c>
      <c r="O901" s="19" t="n"/>
    </row>
    <row r="902">
      <c r="A902" s="19" t="n"/>
      <c r="B902" s="20" t="inlineStr">
        <is>
          <t>4503-XH-DL-8903-8972-5004-IPE-03_Rev0</t>
        </is>
      </c>
      <c r="C902" s="21" t="n">
        <v>0</v>
      </c>
      <c r="D902" s="21" t="inlineStr">
        <is>
          <t>13.08.2026</t>
        </is>
      </c>
      <c r="E902" s="20" t="inlineStr">
        <is>
          <t>IFC - ISSUED FOR CONSTRUCTION</t>
        </is>
      </c>
      <c r="F902" s="21" t="n">
        <v>8903</v>
      </c>
      <c r="G902" s="20" t="inlineStr">
        <is>
          <t>PIPE B36.10/36.19 A333 6-SMLS BE BE</t>
        </is>
      </c>
      <c r="H902" s="20" t="inlineStr">
        <is>
          <t>A333</t>
        </is>
      </c>
      <c r="I902" s="22" t="n">
        <v>2</v>
      </c>
      <c r="J902" s="21" t="inlineStr">
        <is>
          <t>XS</t>
        </is>
      </c>
      <c r="K902" s="20" t="inlineStr">
        <is>
          <t>I64108762</t>
        </is>
      </c>
      <c r="L902" s="22" t="n">
        <v>56.3</v>
      </c>
      <c r="M902" s="20">
        <f>IFERROR(LEFT(B902,SEARCH("_Rev",B902)-1),B902)</f>
        <v/>
      </c>
      <c r="N902" s="20">
        <f>IF(B902="","",IF(ISNUMBER(C902),IF(COUNTIFS($M$3:$M$1026,M902,$C$3:$C$1026,"&gt;"&amp;C902)=0,"CURRENT","SUPERSEDED"),"CURRENT"))</f>
        <v/>
      </c>
      <c r="O902" s="19" t="n"/>
    </row>
    <row r="903">
      <c r="A903" s="19" t="n"/>
      <c r="B903" s="20" t="inlineStr">
        <is>
          <t>4503-XH-DL-8903-8972-5004-IPE-04_Rev0</t>
        </is>
      </c>
      <c r="C903" s="21" t="n">
        <v>0</v>
      </c>
      <c r="D903" s="21" t="inlineStr">
        <is>
          <t>13.08.2026</t>
        </is>
      </c>
      <c r="E903" s="20" t="inlineStr">
        <is>
          <t>IFC - ISSUED FOR CONSTRUCTION</t>
        </is>
      </c>
      <c r="F903" s="21" t="n">
        <v>8903</v>
      </c>
      <c r="G903" s="20" t="inlineStr">
        <is>
          <t>PIPE B36.10/36.19 A333 6-SMLS BE BE</t>
        </is>
      </c>
      <c r="H903" s="20" t="inlineStr">
        <is>
          <t>A333</t>
        </is>
      </c>
      <c r="I903" s="22" t="n">
        <v>2</v>
      </c>
      <c r="J903" s="21" t="inlineStr">
        <is>
          <t>XS</t>
        </is>
      </c>
      <c r="K903" s="20" t="inlineStr">
        <is>
          <t>I64108762</t>
        </is>
      </c>
      <c r="L903" s="22" t="n">
        <v>25.6</v>
      </c>
      <c r="M903" s="20">
        <f>IFERROR(LEFT(B903,SEARCH("_Rev",B903)-1),B903)</f>
        <v/>
      </c>
      <c r="N903" s="20">
        <f>IF(B903="","",IF(ISNUMBER(C903),IF(COUNTIFS($M$3:$M$1026,M903,$C$3:$C$1026,"&gt;"&amp;C903)=0,"CURRENT","SUPERSEDED"),"CURRENT"))</f>
        <v/>
      </c>
      <c r="O903" s="19" t="n"/>
    </row>
    <row r="904">
      <c r="A904" s="19" t="n"/>
      <c r="B904" s="20" t="inlineStr">
        <is>
          <t>4503-XH-DL-8903-8972-5004-IPE-05_Rev0</t>
        </is>
      </c>
      <c r="C904" s="21" t="n">
        <v>0</v>
      </c>
      <c r="D904" s="21" t="inlineStr">
        <is>
          <t>13.08.2026</t>
        </is>
      </c>
      <c r="E904" s="20" t="inlineStr">
        <is>
          <t>IFC - ISSUED FOR CONSTRUCTION</t>
        </is>
      </c>
      <c r="F904" s="21" t="n">
        <v>8903</v>
      </c>
      <c r="G904" s="20" t="inlineStr">
        <is>
          <t>PIPE B36.10/36.19 A333 6-SMLS BE BE</t>
        </is>
      </c>
      <c r="H904" s="20" t="inlineStr">
        <is>
          <t>A333</t>
        </is>
      </c>
      <c r="I904" s="22" t="n">
        <v>2</v>
      </c>
      <c r="J904" s="21" t="inlineStr">
        <is>
          <t>XS</t>
        </is>
      </c>
      <c r="K904" s="20" t="inlineStr">
        <is>
          <t>I64108762</t>
        </is>
      </c>
      <c r="L904" s="22" t="n">
        <v>3.8</v>
      </c>
      <c r="M904" s="20">
        <f>IFERROR(LEFT(B904,SEARCH("_Rev",B904)-1),B904)</f>
        <v/>
      </c>
      <c r="N904" s="20">
        <f>IF(B904="","",IF(ISNUMBER(C904),IF(COUNTIFS($M$3:$M$1026,M904,$C$3:$C$1026,"&gt;"&amp;C904)=0,"CURRENT","SUPERSEDED"),"CURRENT"))</f>
        <v/>
      </c>
      <c r="O904" s="19" t="n"/>
    </row>
    <row r="905">
      <c r="A905" s="19" t="n"/>
      <c r="B905" s="20" t="inlineStr">
        <is>
          <t>4503-XH-DL-8903-8973-5001-P-01_Rev0</t>
        </is>
      </c>
      <c r="C905" s="21" t="n">
        <v>0</v>
      </c>
      <c r="D905" s="21" t="inlineStr">
        <is>
          <t>20.08.2026</t>
        </is>
      </c>
      <c r="E905" s="20" t="inlineStr">
        <is>
          <t>IFC - ISSUEDFOR CONSTRUCTION</t>
        </is>
      </c>
      <c r="F905" s="21" t="n">
        <v>8903</v>
      </c>
      <c r="G905" s="20" t="inlineStr">
        <is>
          <t>PIPE B36.10/36.19 A333 6-SMLS BE BE</t>
        </is>
      </c>
      <c r="H905" s="20" t="inlineStr">
        <is>
          <t>A333</t>
        </is>
      </c>
      <c r="I905" s="22" t="n">
        <v>2</v>
      </c>
      <c r="J905" s="21" t="inlineStr">
        <is>
          <t>XS</t>
        </is>
      </c>
      <c r="K905" s="20" t="inlineStr">
        <is>
          <t>I64108762</t>
        </is>
      </c>
      <c r="L905" s="22" t="n">
        <v>59.5</v>
      </c>
      <c r="M905" s="20">
        <f>IFERROR(LEFT(B905,SEARCH("_Rev",B905)-1),B905)</f>
        <v/>
      </c>
      <c r="N905" s="20">
        <f>IF(B905="","",IF(ISNUMBER(C905),IF(COUNTIFS($M$3:$M$1026,M905,$C$3:$C$1026,"&gt;"&amp;C905)=0,"CURRENT","SUPERSEDED"),"CURRENT"))</f>
        <v/>
      </c>
      <c r="O905" s="19" t="n"/>
    </row>
    <row r="906">
      <c r="A906" s="19" t="n"/>
      <c r="B906" s="20" t="inlineStr">
        <is>
          <t>4503-XH-DL-8903-8973-5001-P-02_Rev0</t>
        </is>
      </c>
      <c r="C906" s="21" t="n">
        <v>0</v>
      </c>
      <c r="D906" s="21" t="inlineStr">
        <is>
          <t>20.08.2026</t>
        </is>
      </c>
      <c r="E906" s="20" t="inlineStr">
        <is>
          <t>IFC - ISSUEDFOR CONSTRUCTION</t>
        </is>
      </c>
      <c r="F906" s="21" t="n">
        <v>8903</v>
      </c>
      <c r="G906" s="20" t="inlineStr">
        <is>
          <t>PIPE B36.10/36.19 A333 6-SMLS BE BE</t>
        </is>
      </c>
      <c r="H906" s="20" t="inlineStr">
        <is>
          <t>A333</t>
        </is>
      </c>
      <c r="I906" s="22" t="n">
        <v>2</v>
      </c>
      <c r="J906" s="21" t="inlineStr">
        <is>
          <t>XS</t>
        </is>
      </c>
      <c r="K906" s="20" t="inlineStr">
        <is>
          <t>I64108762</t>
        </is>
      </c>
      <c r="L906" s="22" t="n">
        <v>59.8</v>
      </c>
      <c r="M906" s="20">
        <f>IFERROR(LEFT(B906,SEARCH("_Rev",B906)-1),B906)</f>
        <v/>
      </c>
      <c r="N906" s="20">
        <f>IF(B906="","",IF(ISNUMBER(C906),IF(COUNTIFS($M$3:$M$1026,M906,$C$3:$C$1026,"&gt;"&amp;C906)=0,"CURRENT","SUPERSEDED"),"CURRENT"))</f>
        <v/>
      </c>
      <c r="O906" s="19" t="n"/>
    </row>
    <row r="907">
      <c r="A907" s="19" t="n"/>
      <c r="B907" s="20" t="inlineStr">
        <is>
          <t>4503-XH-DL-8903-8973-5001-P-03_Rev0</t>
        </is>
      </c>
      <c r="C907" s="21" t="n">
        <v>0</v>
      </c>
      <c r="D907" s="21" t="inlineStr">
        <is>
          <t>20.08.2026</t>
        </is>
      </c>
      <c r="E907" s="20" t="inlineStr">
        <is>
          <t>IFC - ISSUEDFOR CONSTRUCTION</t>
        </is>
      </c>
      <c r="F907" s="21" t="n">
        <v>8903</v>
      </c>
      <c r="G907" s="20" t="inlineStr">
        <is>
          <t>PIPE B36.10/36.19 A333 6-SMLS BE BE</t>
        </is>
      </c>
      <c r="H907" s="20" t="inlineStr">
        <is>
          <t>A333</t>
        </is>
      </c>
      <c r="I907" s="22" t="n">
        <v>2</v>
      </c>
      <c r="J907" s="21" t="inlineStr">
        <is>
          <t>XS</t>
        </is>
      </c>
      <c r="K907" s="20" t="inlineStr">
        <is>
          <t>I64108762</t>
        </is>
      </c>
      <c r="L907" s="22" t="n">
        <v>24</v>
      </c>
      <c r="M907" s="20">
        <f>IFERROR(LEFT(B907,SEARCH("_Rev",B907)-1),B907)</f>
        <v/>
      </c>
      <c r="N907" s="20">
        <f>IF(B907="","",IF(ISNUMBER(C907),IF(COUNTIFS($M$3:$M$1026,M907,$C$3:$C$1026,"&gt;"&amp;C907)=0,"CURRENT","SUPERSEDED"),"CURRENT"))</f>
        <v/>
      </c>
      <c r="O907" s="19" t="n"/>
    </row>
    <row r="908">
      <c r="A908" s="19" t="n"/>
      <c r="B908" s="20" t="inlineStr">
        <is>
          <t>4503-XH-DL-8903-8973-5001-P-04_Rev0</t>
        </is>
      </c>
      <c r="C908" s="21" t="n">
        <v>0</v>
      </c>
      <c r="D908" s="21" t="inlineStr">
        <is>
          <t>20.08.2026</t>
        </is>
      </c>
      <c r="E908" s="20" t="inlineStr">
        <is>
          <t>IFC - ISSUEDFOR CONSTRUCTION</t>
        </is>
      </c>
      <c r="F908" s="21" t="n">
        <v>8903</v>
      </c>
      <c r="G908" s="20" t="inlineStr">
        <is>
          <t>PIPE B36.10/36.19 A333 6-SMLS BE BE</t>
        </is>
      </c>
      <c r="H908" s="20" t="inlineStr">
        <is>
          <t>A333</t>
        </is>
      </c>
      <c r="I908" s="22" t="n">
        <v>2</v>
      </c>
      <c r="J908" s="21" t="inlineStr">
        <is>
          <t>XS</t>
        </is>
      </c>
      <c r="K908" s="20" t="inlineStr">
        <is>
          <t>I64108762</t>
        </is>
      </c>
      <c r="L908" s="22" t="n">
        <v>25.1</v>
      </c>
      <c r="M908" s="20">
        <f>IFERROR(LEFT(B908,SEARCH("_Rev",B908)-1),B908)</f>
        <v/>
      </c>
      <c r="N908" s="20">
        <f>IF(B908="","",IF(ISNUMBER(C908),IF(COUNTIFS($M$3:$M$1026,M908,$C$3:$C$1026,"&gt;"&amp;C908)=0,"CURRENT","SUPERSEDED"),"CURRENT"))</f>
        <v/>
      </c>
      <c r="O908" s="19" t="n"/>
    </row>
    <row r="909">
      <c r="A909" s="19" t="n"/>
      <c r="B909" s="20" t="inlineStr">
        <is>
          <t>4503-XH-DL-8903-8973-5001-P-05_Rev0</t>
        </is>
      </c>
      <c r="C909" s="21" t="n">
        <v>0</v>
      </c>
      <c r="D909" s="21" t="inlineStr">
        <is>
          <t>20.08.2026</t>
        </is>
      </c>
      <c r="E909" s="20" t="inlineStr">
        <is>
          <t>IFC - ISSUEDFOR CONSTRUCTION</t>
        </is>
      </c>
      <c r="F909" s="21" t="n">
        <v>8903</v>
      </c>
      <c r="G909" s="20" t="inlineStr">
        <is>
          <t>PIPE B36.10/36.19 A333 6-SMLS BE BE</t>
        </is>
      </c>
      <c r="H909" s="20" t="inlineStr">
        <is>
          <t>A333</t>
        </is>
      </c>
      <c r="I909" s="22" t="n">
        <v>2</v>
      </c>
      <c r="J909" s="21" t="inlineStr">
        <is>
          <t>XS</t>
        </is>
      </c>
      <c r="K909" s="20" t="inlineStr">
        <is>
          <t>I64108762</t>
        </is>
      </c>
      <c r="L909" s="22" t="n">
        <v>21.8</v>
      </c>
      <c r="M909" s="20">
        <f>IFERROR(LEFT(B909,SEARCH("_Rev",B909)-1),B909)</f>
        <v/>
      </c>
      <c r="N909" s="20">
        <f>IF(B909="","",IF(ISNUMBER(C909),IF(COUNTIFS($M$3:$M$1026,M909,$C$3:$C$1026,"&gt;"&amp;C909)=0,"CURRENT","SUPERSEDED"),"CURRENT"))</f>
        <v/>
      </c>
      <c r="O909" s="19" t="n"/>
    </row>
    <row r="910">
      <c r="A910" s="19" t="n"/>
      <c r="B910" s="20" t="inlineStr">
        <is>
          <t>4503-XH-DL-8904-8919-5091-DRW-01_Rev0</t>
        </is>
      </c>
      <c r="C910" s="21" t="n">
        <v>0</v>
      </c>
      <c r="D910" s="21" t="inlineStr">
        <is>
          <t>20.08.2026</t>
        </is>
      </c>
      <c r="E910" s="20" t="inlineStr">
        <is>
          <t>IFC - ISSUEDFOR CONSTRUCTION</t>
        </is>
      </c>
      <c r="F910" s="21" t="n">
        <v>8904</v>
      </c>
      <c r="G910" s="20" t="inlineStr">
        <is>
          <t>PIPE B36.10/36.19 A312 TP304/304L SMLS DUAL GRADE POTABLE WATER BE BE</t>
        </is>
      </c>
      <c r="H910" s="20" t="inlineStr">
        <is>
          <t>A312</t>
        </is>
      </c>
      <c r="I910" s="22" t="n">
        <v>6</v>
      </c>
      <c r="J910" s="21" t="inlineStr">
        <is>
          <t>10S</t>
        </is>
      </c>
      <c r="K910" s="20" t="inlineStr">
        <is>
          <t>I71891008</t>
        </is>
      </c>
      <c r="L910" s="22" t="n">
        <v>11.9</v>
      </c>
      <c r="M910" s="20">
        <f>IFERROR(LEFT(B910,SEARCH("_Rev",B910)-1),B910)</f>
        <v/>
      </c>
      <c r="N910" s="20">
        <f>IF(B910="","",IF(ISNUMBER(C910),IF(COUNTIFS($M$3:$M$1026,M910,$C$3:$C$1026,"&gt;"&amp;C910)=0,"CURRENT","SUPERSEDED"),"CURRENT"))</f>
        <v/>
      </c>
      <c r="O910" s="19" t="n"/>
    </row>
    <row r="911">
      <c r="A911" s="19" t="n"/>
      <c r="B911" s="20" t="inlineStr">
        <is>
          <t>4503-XH-DL-8904-8919-5091-DRW-03_Rev0</t>
        </is>
      </c>
      <c r="C911" s="21" t="n">
        <v>0</v>
      </c>
      <c r="D911" s="21" t="inlineStr">
        <is>
          <t>20.08.2026</t>
        </is>
      </c>
      <c r="E911" s="20" t="inlineStr">
        <is>
          <t>IFC - ISSUEDFOR CONSTRUCTION</t>
        </is>
      </c>
      <c r="F911" s="21" t="n">
        <v>8904</v>
      </c>
      <c r="G911" s="20" t="inlineStr">
        <is>
          <t>PIPE B36.10/36.19 A312 TP304/304L SMLS DUAL GRADE POTABLE WATER BE BE</t>
        </is>
      </c>
      <c r="H911" s="20" t="inlineStr">
        <is>
          <t>A312</t>
        </is>
      </c>
      <c r="I911" s="22" t="n">
        <v>4</v>
      </c>
      <c r="J911" s="21" t="inlineStr">
        <is>
          <t>10S</t>
        </is>
      </c>
      <c r="K911" s="20" t="inlineStr">
        <is>
          <t>I71891021</t>
        </is>
      </c>
      <c r="L911" s="22" t="n">
        <v>28.3</v>
      </c>
      <c r="M911" s="20">
        <f>IFERROR(LEFT(B911,SEARCH("_Rev",B911)-1),B911)</f>
        <v/>
      </c>
      <c r="N911" s="20">
        <f>IF(B911="","",IF(ISNUMBER(C911),IF(COUNTIFS($M$3:$M$1026,M911,$C$3:$C$1026,"&gt;"&amp;C911)=0,"CURRENT","SUPERSEDED"),"CURRENT"))</f>
        <v/>
      </c>
      <c r="O911" s="19" t="n"/>
    </row>
    <row r="912">
      <c r="A912" s="19" t="n"/>
      <c r="B912" s="20" t="inlineStr">
        <is>
          <t>4503-XH-DL-8904-8919-5091-DRW-04_Rev0</t>
        </is>
      </c>
      <c r="C912" s="21" t="n">
        <v>0</v>
      </c>
      <c r="D912" s="21" t="inlineStr">
        <is>
          <t>20.08.2026</t>
        </is>
      </c>
      <c r="E912" s="20" t="inlineStr">
        <is>
          <t>IFC - ISSUEDFOR CONSTRUCTION</t>
        </is>
      </c>
      <c r="F912" s="21" t="n">
        <v>8904</v>
      </c>
      <c r="G912" s="20" t="inlineStr">
        <is>
          <t>PIPE B36.10/36.19 A312 TP304/304L SMLS DUAL GRADE POTABLE WATER BE BE</t>
        </is>
      </c>
      <c r="H912" s="20" t="inlineStr">
        <is>
          <t>A312</t>
        </is>
      </c>
      <c r="I912" s="22" t="n">
        <v>6</v>
      </c>
      <c r="J912" s="21" t="inlineStr">
        <is>
          <t>10S</t>
        </is>
      </c>
      <c r="K912" s="20" t="inlineStr">
        <is>
          <t>I71891008</t>
        </is>
      </c>
      <c r="L912" s="22" t="n">
        <v>21.6</v>
      </c>
      <c r="M912" s="20">
        <f>IFERROR(LEFT(B912,SEARCH("_Rev",B912)-1),B912)</f>
        <v/>
      </c>
      <c r="N912" s="20">
        <f>IF(B912="","",IF(ISNUMBER(C912),IF(COUNTIFS($M$3:$M$1026,M912,$C$3:$C$1026,"&gt;"&amp;C912)=0,"CURRENT","SUPERSEDED"),"CURRENT"))</f>
        <v/>
      </c>
      <c r="O912" s="19" t="n"/>
    </row>
    <row r="913">
      <c r="A913" s="19" t="n"/>
      <c r="B913" s="20" t="inlineStr">
        <is>
          <t>4503-XH-DL-8904-8919-5091-DRW-05_Rev0</t>
        </is>
      </c>
      <c r="C913" s="21" t="n">
        <v>0</v>
      </c>
      <c r="D913" s="21" t="inlineStr">
        <is>
          <t>20.08.2026</t>
        </is>
      </c>
      <c r="E913" s="20" t="inlineStr">
        <is>
          <t>IFC - ISSUEDFOR CONSTRUCTION</t>
        </is>
      </c>
      <c r="F913" s="21" t="n">
        <v>8904</v>
      </c>
      <c r="G913" s="20" t="inlineStr">
        <is>
          <t>PIPE B36.10/36.19 A312 TP304/304L SMLS DUAL GRADE POTABLE WATER BE BE</t>
        </is>
      </c>
      <c r="H913" s="20" t="inlineStr">
        <is>
          <t>A312</t>
        </is>
      </c>
      <c r="I913" s="22" t="n">
        <v>6</v>
      </c>
      <c r="J913" s="21" t="inlineStr">
        <is>
          <t>10S</t>
        </is>
      </c>
      <c r="K913" s="20" t="inlineStr">
        <is>
          <t>I71891008</t>
        </is>
      </c>
      <c r="L913" s="22" t="n">
        <v>35.9</v>
      </c>
      <c r="M913" s="20">
        <f>IFERROR(LEFT(B913,SEARCH("_Rev",B913)-1),B913)</f>
        <v/>
      </c>
      <c r="N913" s="20">
        <f>IF(B913="","",IF(ISNUMBER(C913),IF(COUNTIFS($M$3:$M$1026,M913,$C$3:$C$1026,"&gt;"&amp;C913)=0,"CURRENT","SUPERSEDED"),"CURRENT"))</f>
        <v/>
      </c>
      <c r="O913" s="19" t="n"/>
    </row>
    <row r="914">
      <c r="A914" s="19" t="n"/>
      <c r="B914" s="20" t="inlineStr">
        <is>
          <t>4503-XH-DL-8904-8919-5091-DRW-05_Rev0</t>
        </is>
      </c>
      <c r="C914" s="21" t="n">
        <v>0</v>
      </c>
      <c r="D914" s="21" t="inlineStr">
        <is>
          <t>20.08.2026</t>
        </is>
      </c>
      <c r="E914" s="20" t="inlineStr">
        <is>
          <t>IFC - ISSUEDFOR CONSTRUCTION</t>
        </is>
      </c>
      <c r="F914" s="21" t="n">
        <v>8904</v>
      </c>
      <c r="G914" s="20" t="inlineStr">
        <is>
          <t>PIPE B36.10/36.19 A312 TP304/304L SMLS DUAL GRADE POTABLE WATER PE PE</t>
        </is>
      </c>
      <c r="H914" s="20" t="inlineStr">
        <is>
          <t>A312</t>
        </is>
      </c>
      <c r="I914" s="22" t="n">
        <v>1</v>
      </c>
      <c r="J914" s="21" t="inlineStr">
        <is>
          <t>40S</t>
        </is>
      </c>
      <c r="K914" s="20" t="inlineStr">
        <is>
          <t>I71860172</t>
        </is>
      </c>
      <c r="L914" s="22" t="n">
        <v>0.2</v>
      </c>
      <c r="M914" s="20">
        <f>IFERROR(LEFT(B914,SEARCH("_Rev",B914)-1),B914)</f>
        <v/>
      </c>
      <c r="N914" s="20">
        <f>IF(B914="","",IF(ISNUMBER(C914),IF(COUNTIFS($M$3:$M$1026,M914,$C$3:$C$1026,"&gt;"&amp;C914)=0,"CURRENT","SUPERSEDED"),"CURRENT"))</f>
        <v/>
      </c>
      <c r="O914" s="19" t="n"/>
    </row>
    <row r="915">
      <c r="A915" s="19" t="n"/>
      <c r="B915" s="20" t="inlineStr">
        <is>
          <t>4503-XH-DL-8904-8919-5091-DRW-06_Rev0</t>
        </is>
      </c>
      <c r="C915" s="21" t="n">
        <v>0</v>
      </c>
      <c r="D915" s="21" t="inlineStr">
        <is>
          <t>20.08.2026</t>
        </is>
      </c>
      <c r="E915" s="20" t="inlineStr">
        <is>
          <t>IFC - ISSUEDFOR CONSTRUCTION</t>
        </is>
      </c>
      <c r="F915" s="21" t="n">
        <v>8904</v>
      </c>
      <c r="G915" s="20" t="inlineStr">
        <is>
          <t>PIPE B36.10/36.19 A312 TP304/304L SMLS DUAL GRADE POTABLE WATER BE BE</t>
        </is>
      </c>
      <c r="H915" s="20" t="inlineStr">
        <is>
          <t>A312</t>
        </is>
      </c>
      <c r="I915" s="22" t="n">
        <v>4</v>
      </c>
      <c r="J915" s="21" t="inlineStr">
        <is>
          <t>10S</t>
        </is>
      </c>
      <c r="K915" s="20" t="inlineStr">
        <is>
          <t>I71891021</t>
        </is>
      </c>
      <c r="L915" s="22" t="n">
        <v>5.4</v>
      </c>
      <c r="M915" s="20">
        <f>IFERROR(LEFT(B915,SEARCH("_Rev",B915)-1),B915)</f>
        <v/>
      </c>
      <c r="N915" s="20">
        <f>IF(B915="","",IF(ISNUMBER(C915),IF(COUNTIFS($M$3:$M$1026,M915,$C$3:$C$1026,"&gt;"&amp;C915)=0,"CURRENT","SUPERSEDED"),"CURRENT"))</f>
        <v/>
      </c>
      <c r="O915" s="19" t="n"/>
    </row>
    <row r="916">
      <c r="A916" s="19" t="n"/>
      <c r="B916" s="20" t="inlineStr">
        <is>
          <t>4503-XH-DL-8904-8919-5091-DRW-07_Rev0</t>
        </is>
      </c>
      <c r="C916" s="21" t="n">
        <v>0</v>
      </c>
      <c r="D916" s="21" t="inlineStr">
        <is>
          <t>20.08.2026</t>
        </is>
      </c>
      <c r="E916" s="20" t="inlineStr">
        <is>
          <t>IFC - ISSUEDFOR CONSTRUCTION</t>
        </is>
      </c>
      <c r="F916" s="21" t="n">
        <v>8904</v>
      </c>
      <c r="G916" s="20" t="inlineStr">
        <is>
          <t>PIPE B36.10/36.19 A312 TP304/304L SMLS DUAL GRADE POTABLE WATER BE BE</t>
        </is>
      </c>
      <c r="H916" s="20" t="inlineStr">
        <is>
          <t>A312</t>
        </is>
      </c>
      <c r="I916" s="22" t="n">
        <v>4</v>
      </c>
      <c r="J916" s="21" t="inlineStr">
        <is>
          <t>10S</t>
        </is>
      </c>
      <c r="K916" s="20" t="inlineStr">
        <is>
          <t>I71891021</t>
        </is>
      </c>
      <c r="L916" s="22" t="n">
        <v>25.6</v>
      </c>
      <c r="M916" s="20">
        <f>IFERROR(LEFT(B916,SEARCH("_Rev",B916)-1),B916)</f>
        <v/>
      </c>
      <c r="N916" s="20">
        <f>IF(B916="","",IF(ISNUMBER(C916),IF(COUNTIFS($M$3:$M$1026,M916,$C$3:$C$1026,"&gt;"&amp;C916)=0,"CURRENT","SUPERSEDED"),"CURRENT"))</f>
        <v/>
      </c>
      <c r="O916" s="19" t="n"/>
    </row>
    <row r="917">
      <c r="A917" s="19" t="n"/>
      <c r="B917" s="20" t="inlineStr">
        <is>
          <t>4503-XH-DL-8904-8919-5091-DRW-08_Rev0</t>
        </is>
      </c>
      <c r="C917" s="21" t="n">
        <v>0</v>
      </c>
      <c r="D917" s="21" t="inlineStr">
        <is>
          <t>20.08.2026</t>
        </is>
      </c>
      <c r="E917" s="20" t="inlineStr">
        <is>
          <t>IFC - ISSUEDFOR CONSTRUCTION</t>
        </is>
      </c>
      <c r="F917" s="21" t="n">
        <v>8904</v>
      </c>
      <c r="G917" s="20" t="inlineStr">
        <is>
          <t>PIPE B36.10/36.19 A312 TP304/304L SMLS DUAL GRADE POTABLE WATER BE BE</t>
        </is>
      </c>
      <c r="H917" s="20" t="inlineStr">
        <is>
          <t>A312</t>
        </is>
      </c>
      <c r="I917" s="22" t="n">
        <v>4</v>
      </c>
      <c r="J917" s="21" t="inlineStr">
        <is>
          <t>10S</t>
        </is>
      </c>
      <c r="K917" s="20" t="inlineStr">
        <is>
          <t>I71891021</t>
        </is>
      </c>
      <c r="L917" s="22" t="n">
        <v>16.3</v>
      </c>
      <c r="M917" s="20">
        <f>IFERROR(LEFT(B917,SEARCH("_Rev",B917)-1),B917)</f>
        <v/>
      </c>
      <c r="N917" s="20">
        <f>IF(B917="","",IF(ISNUMBER(C917),IF(COUNTIFS($M$3:$M$1026,M917,$C$3:$C$1026,"&gt;"&amp;C917)=0,"CURRENT","SUPERSEDED"),"CURRENT"))</f>
        <v/>
      </c>
      <c r="O917" s="19" t="n"/>
    </row>
    <row r="918">
      <c r="A918" s="19" t="n"/>
      <c r="B918" s="20" t="inlineStr">
        <is>
          <t>4503-XH-DL-8904-8919-5091-DRW-08_Rev0</t>
        </is>
      </c>
      <c r="C918" s="21" t="n">
        <v>0</v>
      </c>
      <c r="D918" s="21" t="inlineStr">
        <is>
          <t>20.08.2026</t>
        </is>
      </c>
      <c r="E918" s="20" t="inlineStr">
        <is>
          <t>IFC - ISSUEDFOR CONSTRUCTION</t>
        </is>
      </c>
      <c r="F918" s="21" t="n">
        <v>8904</v>
      </c>
      <c r="G918" s="20" t="inlineStr">
        <is>
          <t>PIPE B36.10/36.19 A312 TP304/304L SMLS DUAL GRADE POTABLE WATER PE PE</t>
        </is>
      </c>
      <c r="H918" s="20" t="inlineStr">
        <is>
          <t>A312</t>
        </is>
      </c>
      <c r="I918" s="22" t="n">
        <v>1</v>
      </c>
      <c r="J918" s="21" t="inlineStr">
        <is>
          <t>40S</t>
        </is>
      </c>
      <c r="K918" s="20" t="inlineStr">
        <is>
          <t>I71860172</t>
        </is>
      </c>
      <c r="L918" s="22" t="n">
        <v>0.2</v>
      </c>
      <c r="M918" s="20">
        <f>IFERROR(LEFT(B918,SEARCH("_Rev",B918)-1),B918)</f>
        <v/>
      </c>
      <c r="N918" s="20">
        <f>IF(B918="","",IF(ISNUMBER(C918),IF(COUNTIFS($M$3:$M$1026,M918,$C$3:$C$1026,"&gt;"&amp;C918)=0,"CURRENT","SUPERSEDED"),"CURRENT"))</f>
        <v/>
      </c>
      <c r="O918" s="19" t="n"/>
    </row>
    <row r="919">
      <c r="A919" s="19" t="n"/>
      <c r="B919" s="20" t="inlineStr">
        <is>
          <t>4503-XH-DL-8904-8972-5004-IPE-01_Rev0</t>
        </is>
      </c>
      <c r="C919" s="21" t="n">
        <v>0</v>
      </c>
      <c r="D919" s="21" t="inlineStr">
        <is>
          <t>13.08.2026</t>
        </is>
      </c>
      <c r="E919" s="20" t="inlineStr">
        <is>
          <t>IFC - ISSUED FOR CONSTRUCTION</t>
        </is>
      </c>
      <c r="F919" s="21" t="n">
        <v>8904</v>
      </c>
      <c r="G919" s="20" t="inlineStr">
        <is>
          <t>PIPE B36.10/36.19 A333 6-SMLS BE BE</t>
        </is>
      </c>
      <c r="H919" s="20" t="inlineStr">
        <is>
          <t>A333</t>
        </is>
      </c>
      <c r="I919" s="22" t="n">
        <v>2</v>
      </c>
      <c r="J919" s="21" t="inlineStr">
        <is>
          <t>XS</t>
        </is>
      </c>
      <c r="K919" s="20" t="inlineStr">
        <is>
          <t>I64108762</t>
        </is>
      </c>
      <c r="L919" s="22" t="n">
        <v>9.300000000000001</v>
      </c>
      <c r="M919" s="20">
        <f>IFERROR(LEFT(B919,SEARCH("_Rev",B919)-1),B919)</f>
        <v/>
      </c>
      <c r="N919" s="20">
        <f>IF(B919="","",IF(ISNUMBER(C919),IF(COUNTIFS($M$3:$M$1026,M919,$C$3:$C$1026,"&gt;"&amp;C919)=0,"CURRENT","SUPERSEDED"),"CURRENT"))</f>
        <v/>
      </c>
      <c r="O919" s="19" t="n"/>
    </row>
    <row r="920">
      <c r="A920" s="19" t="n"/>
      <c r="B920" s="20" t="inlineStr">
        <is>
          <t>4503-XH-DL-8904-8972-5004-IPE-02_Rev0</t>
        </is>
      </c>
      <c r="C920" s="21" t="n">
        <v>0</v>
      </c>
      <c r="D920" s="21" t="inlineStr">
        <is>
          <t>13.08.2026</t>
        </is>
      </c>
      <c r="E920" s="20" t="inlineStr">
        <is>
          <t>IFC - ISSUED FOR CONSTRUCTION</t>
        </is>
      </c>
      <c r="F920" s="21" t="n">
        <v>8904</v>
      </c>
      <c r="G920" s="20" t="inlineStr">
        <is>
          <t>PIPE B36.10/36.19 A333 6-SMLS BE BE</t>
        </is>
      </c>
      <c r="H920" s="20" t="inlineStr">
        <is>
          <t>A333</t>
        </is>
      </c>
      <c r="I920" s="22" t="n">
        <v>2</v>
      </c>
      <c r="J920" s="21" t="inlineStr">
        <is>
          <t>XS</t>
        </is>
      </c>
      <c r="K920" s="20" t="inlineStr">
        <is>
          <t>I64108762</t>
        </is>
      </c>
      <c r="L920" s="22" t="n">
        <v>56</v>
      </c>
      <c r="M920" s="20">
        <f>IFERROR(LEFT(B920,SEARCH("_Rev",B920)-1),B920)</f>
        <v/>
      </c>
      <c r="N920" s="20">
        <f>IF(B920="","",IF(ISNUMBER(C920),IF(COUNTIFS($M$3:$M$1026,M920,$C$3:$C$1026,"&gt;"&amp;C920)=0,"CURRENT","SUPERSEDED"),"CURRENT"))</f>
        <v/>
      </c>
      <c r="O920" s="19" t="n"/>
    </row>
    <row r="921">
      <c r="A921" s="19" t="n"/>
      <c r="B921" s="20" t="inlineStr">
        <is>
          <t>4503-XH-DL-8904-8972-5004-IPE-03_Rev0</t>
        </is>
      </c>
      <c r="C921" s="21" t="n">
        <v>0</v>
      </c>
      <c r="D921" s="21" t="inlineStr">
        <is>
          <t>13.08.2026</t>
        </is>
      </c>
      <c r="E921" s="20" t="inlineStr">
        <is>
          <t>IFC - ISSUED FOR CONSTRUCTION</t>
        </is>
      </c>
      <c r="F921" s="21" t="n">
        <v>8904</v>
      </c>
      <c r="G921" s="20" t="inlineStr">
        <is>
          <t>PIPE B36.10/36.19 A333 6-SMLS BE BE</t>
        </is>
      </c>
      <c r="H921" s="20" t="inlineStr">
        <is>
          <t>A333</t>
        </is>
      </c>
      <c r="I921" s="22" t="n">
        <v>2</v>
      </c>
      <c r="J921" s="21" t="inlineStr">
        <is>
          <t>XS</t>
        </is>
      </c>
      <c r="K921" s="20" t="inlineStr">
        <is>
          <t>I64108762</t>
        </is>
      </c>
      <c r="L921" s="22" t="n">
        <v>54</v>
      </c>
      <c r="M921" s="20">
        <f>IFERROR(LEFT(B921,SEARCH("_Rev",B921)-1),B921)</f>
        <v/>
      </c>
      <c r="N921" s="20">
        <f>IF(B921="","",IF(ISNUMBER(C921),IF(COUNTIFS($M$3:$M$1026,M921,$C$3:$C$1026,"&gt;"&amp;C921)=0,"CURRENT","SUPERSEDED"),"CURRENT"))</f>
        <v/>
      </c>
      <c r="O921" s="19" t="n"/>
    </row>
    <row r="922">
      <c r="A922" s="19" t="n"/>
      <c r="B922" s="20" t="inlineStr">
        <is>
          <t>4503-XH-DL-8904-8972-5004-IPE-04_Rev0</t>
        </is>
      </c>
      <c r="C922" s="21" t="n">
        <v>0</v>
      </c>
      <c r="D922" s="21" t="inlineStr">
        <is>
          <t>13.08.2026</t>
        </is>
      </c>
      <c r="E922" s="20" t="inlineStr">
        <is>
          <t>IFC - ISSUED FOR CONSTRUCTION</t>
        </is>
      </c>
      <c r="F922" s="21" t="n">
        <v>8904</v>
      </c>
      <c r="G922" s="20" t="inlineStr">
        <is>
          <t>PIPE B36.10/36.19 A333 6-SMLS BE BE</t>
        </is>
      </c>
      <c r="H922" s="20" t="inlineStr">
        <is>
          <t>A333</t>
        </is>
      </c>
      <c r="I922" s="22" t="n">
        <v>2</v>
      </c>
      <c r="J922" s="21" t="inlineStr">
        <is>
          <t>XS</t>
        </is>
      </c>
      <c r="K922" s="20" t="inlineStr">
        <is>
          <t>I64108762</t>
        </is>
      </c>
      <c r="L922" s="22" t="n">
        <v>24.4</v>
      </c>
      <c r="M922" s="20">
        <f>IFERROR(LEFT(B922,SEARCH("_Rev",B922)-1),B922)</f>
        <v/>
      </c>
      <c r="N922" s="20">
        <f>IF(B922="","",IF(ISNUMBER(C922),IF(COUNTIFS($M$3:$M$1026,M922,$C$3:$C$1026,"&gt;"&amp;C922)=0,"CURRENT","SUPERSEDED"),"CURRENT"))</f>
        <v/>
      </c>
      <c r="O922" s="19" t="n"/>
    </row>
    <row r="923">
      <c r="A923" s="19" t="n"/>
      <c r="B923" s="20" t="inlineStr">
        <is>
          <t>4503-XH-DL-8904-8972-5004-IPE-05_Rev0</t>
        </is>
      </c>
      <c r="C923" s="21" t="n">
        <v>0</v>
      </c>
      <c r="D923" s="21" t="inlineStr">
        <is>
          <t>13.08.2026</t>
        </is>
      </c>
      <c r="E923" s="20" t="inlineStr">
        <is>
          <t>IFC - ISSUED FOR CONSTRUCTION</t>
        </is>
      </c>
      <c r="F923" s="21" t="n">
        <v>8904</v>
      </c>
      <c r="G923" s="20" t="inlineStr">
        <is>
          <t>PIPE B36.10/36.19 A333 6-SMLS BE BE</t>
        </is>
      </c>
      <c r="H923" s="20" t="inlineStr">
        <is>
          <t>A333</t>
        </is>
      </c>
      <c r="I923" s="22" t="n">
        <v>2</v>
      </c>
      <c r="J923" s="21" t="inlineStr">
        <is>
          <t>XS</t>
        </is>
      </c>
      <c r="K923" s="20" t="inlineStr">
        <is>
          <t>I64108762</t>
        </is>
      </c>
      <c r="L923" s="22" t="n">
        <v>33.3</v>
      </c>
      <c r="M923" s="20">
        <f>IFERROR(LEFT(B923,SEARCH("_Rev",B923)-1),B923)</f>
        <v/>
      </c>
      <c r="N923" s="20">
        <f>IF(B923="","",IF(ISNUMBER(C923),IF(COUNTIFS($M$3:$M$1026,M923,$C$3:$C$1026,"&gt;"&amp;C923)=0,"CURRENT","SUPERSEDED"),"CURRENT"))</f>
        <v/>
      </c>
      <c r="O923" s="19" t="n"/>
    </row>
    <row r="924">
      <c r="A924" s="19" t="n"/>
      <c r="B924" s="20" t="inlineStr">
        <is>
          <t>4503-XH-DL-8904-8973-5001-P-01_Rev0</t>
        </is>
      </c>
      <c r="C924" s="21" t="n">
        <v>0</v>
      </c>
      <c r="D924" s="21" t="inlineStr">
        <is>
          <t>20.08.2026</t>
        </is>
      </c>
      <c r="E924" s="20" t="inlineStr">
        <is>
          <t>IFC - ISSUEDFOR CONSTRUCTION</t>
        </is>
      </c>
      <c r="F924" s="21" t="n">
        <v>8904</v>
      </c>
      <c r="G924" s="20" t="inlineStr">
        <is>
          <t>PIPE B36.10/36.19 A333 6-SMLS BE BE</t>
        </is>
      </c>
      <c r="H924" s="20" t="inlineStr">
        <is>
          <t>A333</t>
        </is>
      </c>
      <c r="I924" s="22" t="n">
        <v>2</v>
      </c>
      <c r="J924" s="21" t="inlineStr">
        <is>
          <t>XS</t>
        </is>
      </c>
      <c r="K924" s="20" t="inlineStr">
        <is>
          <t>I64108762</t>
        </is>
      </c>
      <c r="L924" s="22" t="n">
        <v>54</v>
      </c>
      <c r="M924" s="20">
        <f>IFERROR(LEFT(B924,SEARCH("_Rev",B924)-1),B924)</f>
        <v/>
      </c>
      <c r="N924" s="20">
        <f>IF(B924="","",IF(ISNUMBER(C924),IF(COUNTIFS($M$3:$M$1026,M924,$C$3:$C$1026,"&gt;"&amp;C924)=0,"CURRENT","SUPERSEDED"),"CURRENT"))</f>
        <v/>
      </c>
      <c r="O924" s="19" t="n"/>
    </row>
    <row r="925">
      <c r="A925" s="19" t="n"/>
      <c r="B925" s="20" t="inlineStr">
        <is>
          <t>4503-XH-DL-8904-8973-5001-P-02_Rev0</t>
        </is>
      </c>
      <c r="C925" s="21" t="n">
        <v>0</v>
      </c>
      <c r="D925" s="21" t="inlineStr">
        <is>
          <t>20.08.2026</t>
        </is>
      </c>
      <c r="E925" s="20" t="inlineStr">
        <is>
          <t>IFC - ISSUEDFOR CONSTRUCTION</t>
        </is>
      </c>
      <c r="F925" s="21" t="n">
        <v>8904</v>
      </c>
      <c r="G925" s="20" t="inlineStr">
        <is>
          <t>PIPE B36.10/36.19 A333 6-SMLS BE BE</t>
        </is>
      </c>
      <c r="H925" s="20" t="inlineStr">
        <is>
          <t>A333</t>
        </is>
      </c>
      <c r="I925" s="22" t="n">
        <v>2</v>
      </c>
      <c r="J925" s="21" t="inlineStr">
        <is>
          <t>XS</t>
        </is>
      </c>
      <c r="K925" s="20" t="inlineStr">
        <is>
          <t>I64108762</t>
        </is>
      </c>
      <c r="L925" s="22" t="n">
        <v>56</v>
      </c>
      <c r="M925" s="20">
        <f>IFERROR(LEFT(B925,SEARCH("_Rev",B925)-1),B925)</f>
        <v/>
      </c>
      <c r="N925" s="20">
        <f>IF(B925="","",IF(ISNUMBER(C925),IF(COUNTIFS($M$3:$M$1026,M925,$C$3:$C$1026,"&gt;"&amp;C925)=0,"CURRENT","SUPERSEDED"),"CURRENT"))</f>
        <v/>
      </c>
      <c r="O925" s="19" t="n"/>
    </row>
    <row r="926">
      <c r="A926" s="19" t="n"/>
      <c r="B926" s="20" t="inlineStr">
        <is>
          <t>4503-XH-DL-8904-8973-5001-P-03_Rev0</t>
        </is>
      </c>
      <c r="C926" s="21" t="n">
        <v>0</v>
      </c>
      <c r="D926" s="21" t="inlineStr">
        <is>
          <t>20.08.2026</t>
        </is>
      </c>
      <c r="E926" s="20" t="inlineStr">
        <is>
          <t>IFC - ISSUEDFOR CONSTRUCTION</t>
        </is>
      </c>
      <c r="F926" s="21" t="n">
        <v>8904</v>
      </c>
      <c r="G926" s="20" t="inlineStr">
        <is>
          <t>PIPE B36.10/36.19 A333 6-SMLS BE BE</t>
        </is>
      </c>
      <c r="H926" s="20" t="inlineStr">
        <is>
          <t>A333</t>
        </is>
      </c>
      <c r="I926" s="22" t="n">
        <v>2</v>
      </c>
      <c r="J926" s="21" t="inlineStr">
        <is>
          <t>XS</t>
        </is>
      </c>
      <c r="K926" s="20" t="inlineStr">
        <is>
          <t>I64108762</t>
        </is>
      </c>
      <c r="L926" s="22" t="n">
        <v>27.7</v>
      </c>
      <c r="M926" s="20">
        <f>IFERROR(LEFT(B926,SEARCH("_Rev",B926)-1),B926)</f>
        <v/>
      </c>
      <c r="N926" s="20">
        <f>IF(B926="","",IF(ISNUMBER(C926),IF(COUNTIFS($M$3:$M$1026,M926,$C$3:$C$1026,"&gt;"&amp;C926)=0,"CURRENT","SUPERSEDED"),"CURRENT"))</f>
        <v/>
      </c>
      <c r="O926" s="19" t="n"/>
    </row>
    <row r="927">
      <c r="A927" s="19" t="n"/>
      <c r="B927" s="20" t="inlineStr">
        <is>
          <t>4503-XH-DL-8904-8973-5001-P-04_Rev0</t>
        </is>
      </c>
      <c r="C927" s="21" t="n">
        <v>0</v>
      </c>
      <c r="D927" s="21" t="inlineStr">
        <is>
          <t>20.08.2026</t>
        </is>
      </c>
      <c r="E927" s="20" t="inlineStr">
        <is>
          <t>IFC - ISSUEDFOR CONSTRUCTION</t>
        </is>
      </c>
      <c r="F927" s="21" t="n">
        <v>8904</v>
      </c>
      <c r="G927" s="20" t="inlineStr">
        <is>
          <t>PIPE B36.10/36.19 A333 6-SMLS BE BE</t>
        </is>
      </c>
      <c r="H927" s="20" t="inlineStr">
        <is>
          <t>A333</t>
        </is>
      </c>
      <c r="I927" s="22" t="n">
        <v>2</v>
      </c>
      <c r="J927" s="21" t="inlineStr">
        <is>
          <t>XS</t>
        </is>
      </c>
      <c r="K927" s="20" t="inlineStr">
        <is>
          <t>I64108762</t>
        </is>
      </c>
      <c r="L927" s="22" t="n">
        <v>27.9</v>
      </c>
      <c r="M927" s="20">
        <f>IFERROR(LEFT(B927,SEARCH("_Rev",B927)-1),B927)</f>
        <v/>
      </c>
      <c r="N927" s="20">
        <f>IF(B927="","",IF(ISNUMBER(C927),IF(COUNTIFS($M$3:$M$1026,M927,$C$3:$C$1026,"&gt;"&amp;C927)=0,"CURRENT","SUPERSEDED"),"CURRENT"))</f>
        <v/>
      </c>
      <c r="O927" s="19" t="n"/>
    </row>
    <row r="928">
      <c r="A928" s="19" t="n"/>
      <c r="B928" s="20" t="inlineStr">
        <is>
          <t>4503-XH-DL-8904-8973-5001-P-05_Rev0</t>
        </is>
      </c>
      <c r="C928" s="21" t="n">
        <v>0</v>
      </c>
      <c r="D928" s="21" t="inlineStr">
        <is>
          <t>20.08.2026</t>
        </is>
      </c>
      <c r="E928" s="20" t="inlineStr">
        <is>
          <t>IFC - ISSUEDFOR CONSTRUCTION</t>
        </is>
      </c>
      <c r="F928" s="21" t="n">
        <v>8904</v>
      </c>
      <c r="G928" s="20" t="inlineStr">
        <is>
          <t>PIPE B36.10/36.19 A333 6-SMLS BE BE</t>
        </is>
      </c>
      <c r="H928" s="20" t="inlineStr">
        <is>
          <t>A333</t>
        </is>
      </c>
      <c r="I928" s="22" t="n">
        <v>2</v>
      </c>
      <c r="J928" s="21" t="inlineStr">
        <is>
          <t>XS</t>
        </is>
      </c>
      <c r="K928" s="20" t="inlineStr">
        <is>
          <t>I64108762</t>
        </is>
      </c>
      <c r="L928" s="22" t="n">
        <v>15.7</v>
      </c>
      <c r="M928" s="20">
        <f>IFERROR(LEFT(B928,SEARCH("_Rev",B928)-1),B928)</f>
        <v/>
      </c>
      <c r="N928" s="20">
        <f>IF(B928="","",IF(ISNUMBER(C928),IF(COUNTIFS($M$3:$M$1026,M928,$C$3:$C$1026,"&gt;"&amp;C928)=0,"CURRENT","SUPERSEDED"),"CURRENT"))</f>
        <v/>
      </c>
      <c r="O928" s="19" t="n"/>
    </row>
    <row r="929">
      <c r="A929" s="19" t="n"/>
      <c r="B929" s="20" t="inlineStr">
        <is>
          <t>4503-XH-DL-8905-8919-5087-DRW-01_Rev0</t>
        </is>
      </c>
      <c r="C929" s="21" t="n">
        <v>0</v>
      </c>
      <c r="D929" s="21" t="inlineStr">
        <is>
          <t>20.08.2026</t>
        </is>
      </c>
      <c r="E929" s="20" t="inlineStr">
        <is>
          <t>IFC - ISSUEDFOR CONSTRUCTION</t>
        </is>
      </c>
      <c r="F929" s="21" t="n">
        <v>8905</v>
      </c>
      <c r="G929" s="20" t="inlineStr">
        <is>
          <t>PIPE B36.10/36.19 A312 TP304/304L SMLS DUAL GRADE POTABLE WATER BE BE</t>
        </is>
      </c>
      <c r="H929" s="20" t="inlineStr">
        <is>
          <t>A312</t>
        </is>
      </c>
      <c r="I929" s="22" t="n">
        <v>2</v>
      </c>
      <c r="J929" s="21" t="inlineStr">
        <is>
          <t>10S</t>
        </is>
      </c>
      <c r="K929" s="20" t="inlineStr">
        <is>
          <t>I71891012</t>
        </is>
      </c>
      <c r="L929" s="22" t="n">
        <v>13.9</v>
      </c>
      <c r="M929" s="20">
        <f>IFERROR(LEFT(B929,SEARCH("_Rev",B929)-1),B929)</f>
        <v/>
      </c>
      <c r="N929" s="20">
        <f>IF(B929="","",IF(ISNUMBER(C929),IF(COUNTIFS($M$3:$M$1026,M929,$C$3:$C$1026,"&gt;"&amp;C929)=0,"CURRENT","SUPERSEDED"),"CURRENT"))</f>
        <v/>
      </c>
      <c r="O929" s="19" t="n"/>
    </row>
    <row r="930">
      <c r="A930" s="19" t="n"/>
      <c r="B930" s="20" t="inlineStr">
        <is>
          <t>4503-XH-DL-8905-8919-5091-DRW-01_Rev0</t>
        </is>
      </c>
      <c r="C930" s="21" t="n">
        <v>0</v>
      </c>
      <c r="D930" s="21" t="inlineStr">
        <is>
          <t>20.08.2026</t>
        </is>
      </c>
      <c r="E930" s="20" t="inlineStr">
        <is>
          <t>IFC - ISSUEDFOR CONSTRUCTION</t>
        </is>
      </c>
      <c r="F930" s="21" t="n">
        <v>8905</v>
      </c>
      <c r="G930" s="20" t="inlineStr">
        <is>
          <t>PIPE B36.10/36.19 A312 TP304/304L SMLS DUAL GRADE POTABLE WATER BE BE</t>
        </is>
      </c>
      <c r="H930" s="20" t="inlineStr">
        <is>
          <t>A312</t>
        </is>
      </c>
      <c r="I930" s="22" t="n">
        <v>4</v>
      </c>
      <c r="J930" s="21" t="inlineStr">
        <is>
          <t>10S</t>
        </is>
      </c>
      <c r="K930" s="20" t="inlineStr">
        <is>
          <t>I71891021</t>
        </is>
      </c>
      <c r="L930" s="22" t="n">
        <v>48</v>
      </c>
      <c r="M930" s="20">
        <f>IFERROR(LEFT(B930,SEARCH("_Rev",B930)-1),B930)</f>
        <v/>
      </c>
      <c r="N930" s="20">
        <f>IF(B930="","",IF(ISNUMBER(C930),IF(COUNTIFS($M$3:$M$1026,M930,$C$3:$C$1026,"&gt;"&amp;C930)=0,"CURRENT","SUPERSEDED"),"CURRENT"))</f>
        <v/>
      </c>
      <c r="O930" s="19" t="n"/>
    </row>
    <row r="931">
      <c r="A931" s="19" t="n"/>
      <c r="B931" s="20" t="inlineStr">
        <is>
          <t>4503-XH-DL-8905-8919-5091-DRW-02_Rev0</t>
        </is>
      </c>
      <c r="C931" s="21" t="n">
        <v>0</v>
      </c>
      <c r="D931" s="21" t="inlineStr">
        <is>
          <t>20.08.2026</t>
        </is>
      </c>
      <c r="E931" s="20" t="inlineStr">
        <is>
          <t>IFC - ISSUEDFOR CONSTRUCTION</t>
        </is>
      </c>
      <c r="F931" s="21" t="n">
        <v>8905</v>
      </c>
      <c r="G931" s="20" t="inlineStr">
        <is>
          <t>PIPE B36.10/36.19 A312 TP304/304L SMLS DUAL GRADE POTABLE WATER BE BE</t>
        </is>
      </c>
      <c r="H931" s="20" t="inlineStr">
        <is>
          <t>A312</t>
        </is>
      </c>
      <c r="I931" s="22" t="n">
        <v>4</v>
      </c>
      <c r="J931" s="21" t="inlineStr">
        <is>
          <t>10S</t>
        </is>
      </c>
      <c r="K931" s="20" t="inlineStr">
        <is>
          <t>I71891021</t>
        </is>
      </c>
      <c r="L931" s="22" t="n">
        <v>36.6</v>
      </c>
      <c r="M931" s="20">
        <f>IFERROR(LEFT(B931,SEARCH("_Rev",B931)-1),B931)</f>
        <v/>
      </c>
      <c r="N931" s="20">
        <f>IF(B931="","",IF(ISNUMBER(C931),IF(COUNTIFS($M$3:$M$1026,M931,$C$3:$C$1026,"&gt;"&amp;C931)=0,"CURRENT","SUPERSEDED"),"CURRENT"))</f>
        <v/>
      </c>
      <c r="O931" s="19" t="n"/>
    </row>
    <row r="932">
      <c r="A932" s="19" t="n"/>
      <c r="B932" s="20" t="inlineStr">
        <is>
          <t>4503-XH-DL-8905-8919-5091-DRW-03_Rev0</t>
        </is>
      </c>
      <c r="C932" s="21" t="n">
        <v>0</v>
      </c>
      <c r="D932" s="21" t="inlineStr">
        <is>
          <t>20.08.2026</t>
        </is>
      </c>
      <c r="E932" s="20" t="inlineStr">
        <is>
          <t>IFC - ISSUEDFOR CONSTRUCTION</t>
        </is>
      </c>
      <c r="F932" s="21" t="n">
        <v>8905</v>
      </c>
      <c r="G932" s="20" t="inlineStr">
        <is>
          <t>PIPE B36.10/36.19 A312 TP304/304L SMLS DUAL GRADE POTABLE WATER BE BE</t>
        </is>
      </c>
      <c r="H932" s="20" t="inlineStr">
        <is>
          <t>A312</t>
        </is>
      </c>
      <c r="I932" s="22" t="n">
        <v>4</v>
      </c>
      <c r="J932" s="21" t="inlineStr">
        <is>
          <t>10S</t>
        </is>
      </c>
      <c r="K932" s="20" t="inlineStr">
        <is>
          <t>I71891021</t>
        </is>
      </c>
      <c r="L932" s="22" t="n">
        <v>69.2</v>
      </c>
      <c r="M932" s="20">
        <f>IFERROR(LEFT(B932,SEARCH("_Rev",B932)-1),B932)</f>
        <v/>
      </c>
      <c r="N932" s="20">
        <f>IF(B932="","",IF(ISNUMBER(C932),IF(COUNTIFS($M$3:$M$1026,M932,$C$3:$C$1026,"&gt;"&amp;C932)=0,"CURRENT","SUPERSEDED"),"CURRENT"))</f>
        <v/>
      </c>
      <c r="O932" s="19" t="n"/>
    </row>
    <row r="933">
      <c r="A933" s="19" t="n"/>
      <c r="B933" s="20" t="inlineStr">
        <is>
          <t>4503-XH-DL-8905-8919-5091-DRW-04_Rev0</t>
        </is>
      </c>
      <c r="C933" s="21" t="n">
        <v>0</v>
      </c>
      <c r="D933" s="21" t="inlineStr">
        <is>
          <t>20.08.2026</t>
        </is>
      </c>
      <c r="E933" s="20" t="inlineStr">
        <is>
          <t>IFC - ISSUEDFOR CONSTRUCTION</t>
        </is>
      </c>
      <c r="F933" s="21" t="n">
        <v>8905</v>
      </c>
      <c r="G933" s="20" t="inlineStr">
        <is>
          <t>PIPE B36.10/36.19 A312 TP304/304L SMLS DUAL GRADE POTABLE WATER BE BE</t>
        </is>
      </c>
      <c r="H933" s="20" t="inlineStr">
        <is>
          <t>A312</t>
        </is>
      </c>
      <c r="I933" s="22" t="n">
        <v>4</v>
      </c>
      <c r="J933" s="21" t="inlineStr">
        <is>
          <t>10S</t>
        </is>
      </c>
      <c r="K933" s="20" t="inlineStr">
        <is>
          <t>I71891021</t>
        </is>
      </c>
      <c r="L933" s="22" t="n">
        <v>21.5</v>
      </c>
      <c r="M933" s="20">
        <f>IFERROR(LEFT(B933,SEARCH("_Rev",B933)-1),B933)</f>
        <v/>
      </c>
      <c r="N933" s="20">
        <f>IF(B933="","",IF(ISNUMBER(C933),IF(COUNTIFS($M$3:$M$1026,M933,$C$3:$C$1026,"&gt;"&amp;C933)=0,"CURRENT","SUPERSEDED"),"CURRENT"))</f>
        <v/>
      </c>
      <c r="O933" s="19" t="n"/>
    </row>
    <row r="934">
      <c r="A934" s="19" t="n"/>
      <c r="B934" s="20" t="inlineStr">
        <is>
          <t>4503-XH-DL-8905-8919-5091-DRW-05_Rev0</t>
        </is>
      </c>
      <c r="C934" s="21" t="n">
        <v>0</v>
      </c>
      <c r="D934" s="21" t="inlineStr">
        <is>
          <t>20.08.2026</t>
        </is>
      </c>
      <c r="E934" s="20" t="inlineStr">
        <is>
          <t>IFC - ISSUEDFOR CONSTRUCTION</t>
        </is>
      </c>
      <c r="F934" s="21" t="n">
        <v>8905</v>
      </c>
      <c r="G934" s="20" t="inlineStr">
        <is>
          <t>PIPE B36.10/36.19 A312 TP304/304L SMLS DUAL GRADE POTABLE WATER BE BE</t>
        </is>
      </c>
      <c r="H934" s="20" t="inlineStr">
        <is>
          <t>A312</t>
        </is>
      </c>
      <c r="I934" s="22" t="n">
        <v>4</v>
      </c>
      <c r="J934" s="21" t="inlineStr">
        <is>
          <t>10S</t>
        </is>
      </c>
      <c r="K934" s="20" t="inlineStr">
        <is>
          <t>I71891021</t>
        </is>
      </c>
      <c r="L934" s="22" t="n">
        <v>6.6</v>
      </c>
      <c r="M934" s="20">
        <f>IFERROR(LEFT(B934,SEARCH("_Rev",B934)-1),B934)</f>
        <v/>
      </c>
      <c r="N934" s="20">
        <f>IF(B934="","",IF(ISNUMBER(C934),IF(COUNTIFS($M$3:$M$1026,M934,$C$3:$C$1026,"&gt;"&amp;C934)=0,"CURRENT","SUPERSEDED"),"CURRENT"))</f>
        <v/>
      </c>
      <c r="O934" s="19" t="n"/>
    </row>
    <row r="935">
      <c r="A935" s="19" t="n"/>
      <c r="B935" s="20" t="inlineStr">
        <is>
          <t>4503-XH-DL-8905-8919-5091-DRW-05_Rev0</t>
        </is>
      </c>
      <c r="C935" s="21" t="n">
        <v>0</v>
      </c>
      <c r="D935" s="21" t="inlineStr">
        <is>
          <t>20.08.2026</t>
        </is>
      </c>
      <c r="E935" s="20" t="inlineStr">
        <is>
          <t>IFC - ISSUEDFOR CONSTRUCTION</t>
        </is>
      </c>
      <c r="F935" s="21" t="n">
        <v>8905</v>
      </c>
      <c r="G935" s="20" t="inlineStr">
        <is>
          <t>PIPE B36.10/36.19 A312 TP304/304L SMLS DUAL GRADE POTABLE WATER PE PE</t>
        </is>
      </c>
      <c r="H935" s="20" t="inlineStr">
        <is>
          <t>A312</t>
        </is>
      </c>
      <c r="I935" s="22" t="n">
        <v>1</v>
      </c>
      <c r="J935" s="21" t="inlineStr">
        <is>
          <t>40S</t>
        </is>
      </c>
      <c r="K935" s="20" t="inlineStr">
        <is>
          <t>I71860172</t>
        </is>
      </c>
      <c r="L935" s="22" t="n">
        <v>0.2</v>
      </c>
      <c r="M935" s="20">
        <f>IFERROR(LEFT(B935,SEARCH("_Rev",B935)-1),B935)</f>
        <v/>
      </c>
      <c r="N935" s="20">
        <f>IF(B935="","",IF(ISNUMBER(C935),IF(COUNTIFS($M$3:$M$1026,M935,$C$3:$C$1026,"&gt;"&amp;C935)=0,"CURRENT","SUPERSEDED"),"CURRENT"))</f>
        <v/>
      </c>
      <c r="O935" s="19" t="n"/>
    </row>
    <row r="936">
      <c r="A936" s="19" t="n"/>
      <c r="B936" s="20" t="inlineStr">
        <is>
          <t>4503-XH-DL-8905-8972-5004-IPE-01_Rev0</t>
        </is>
      </c>
      <c r="C936" s="21" t="n">
        <v>0</v>
      </c>
      <c r="D936" s="21" t="inlineStr">
        <is>
          <t>13.08.2026</t>
        </is>
      </c>
      <c r="E936" s="20" t="inlineStr">
        <is>
          <t>IFC - ISSUED FOR CONSTRUCTION</t>
        </is>
      </c>
      <c r="F936" s="21" t="n">
        <v>8905</v>
      </c>
      <c r="G936" s="20" t="inlineStr">
        <is>
          <t>PIPE B36.10/36.19 A333 6-SMLS BE BE</t>
        </is>
      </c>
      <c r="H936" s="20" t="inlineStr">
        <is>
          <t>A333</t>
        </is>
      </c>
      <c r="I936" s="22" t="n">
        <v>2</v>
      </c>
      <c r="J936" s="21" t="inlineStr">
        <is>
          <t>XS</t>
        </is>
      </c>
      <c r="K936" s="20" t="inlineStr">
        <is>
          <t>I64108762</t>
        </is>
      </c>
      <c r="L936" s="22" t="n">
        <v>35.4</v>
      </c>
      <c r="M936" s="20">
        <f>IFERROR(LEFT(B936,SEARCH("_Rev",B936)-1),B936)</f>
        <v/>
      </c>
      <c r="N936" s="20">
        <f>IF(B936="","",IF(ISNUMBER(C936),IF(COUNTIFS($M$3:$M$1026,M936,$C$3:$C$1026,"&gt;"&amp;C936)=0,"CURRENT","SUPERSEDED"),"CURRENT"))</f>
        <v/>
      </c>
      <c r="O936" s="19" t="n"/>
    </row>
    <row r="937">
      <c r="A937" s="19" t="n"/>
      <c r="B937" s="20" t="inlineStr">
        <is>
          <t>4503-XH-DL-8905-8972-5004-IPE-02_Rev0</t>
        </is>
      </c>
      <c r="C937" s="21" t="n">
        <v>0</v>
      </c>
      <c r="D937" s="21" t="inlineStr">
        <is>
          <t>13.08.2026</t>
        </is>
      </c>
      <c r="E937" s="20" t="inlineStr">
        <is>
          <t>IFC - ISSUED FOR CONSTRUCTION</t>
        </is>
      </c>
      <c r="F937" s="21" t="n">
        <v>8905</v>
      </c>
      <c r="G937" s="20" t="inlineStr">
        <is>
          <t>PIPE B36.10/36.19 A333 6-SMLS BE BE</t>
        </is>
      </c>
      <c r="H937" s="20" t="inlineStr">
        <is>
          <t>A333</t>
        </is>
      </c>
      <c r="I937" s="22" t="n">
        <v>2</v>
      </c>
      <c r="J937" s="21" t="inlineStr">
        <is>
          <t>XS</t>
        </is>
      </c>
      <c r="K937" s="20" t="inlineStr">
        <is>
          <t>I64108762</t>
        </is>
      </c>
      <c r="L937" s="22" t="n">
        <v>48</v>
      </c>
      <c r="M937" s="20">
        <f>IFERROR(LEFT(B937,SEARCH("_Rev",B937)-1),B937)</f>
        <v/>
      </c>
      <c r="N937" s="20">
        <f>IF(B937="","",IF(ISNUMBER(C937),IF(COUNTIFS($M$3:$M$1026,M937,$C$3:$C$1026,"&gt;"&amp;C937)=0,"CURRENT","SUPERSEDED"),"CURRENT"))</f>
        <v/>
      </c>
      <c r="O937" s="19" t="n"/>
    </row>
    <row r="938">
      <c r="A938" s="19" t="n"/>
      <c r="B938" s="20" t="inlineStr">
        <is>
          <t>4503-XH-DL-8905-8972-5004-IPE-03_Rev0</t>
        </is>
      </c>
      <c r="C938" s="21" t="n">
        <v>0</v>
      </c>
      <c r="D938" s="21" t="inlineStr">
        <is>
          <t>13.08.2026</t>
        </is>
      </c>
      <c r="E938" s="20" t="inlineStr">
        <is>
          <t>IFC - ISSUED FOR CONSTRUCTION</t>
        </is>
      </c>
      <c r="F938" s="21" t="n">
        <v>8905</v>
      </c>
      <c r="G938" s="20" t="inlineStr">
        <is>
          <t>PIPE B36.10/36.19 A333 6-SMLS BE BE</t>
        </is>
      </c>
      <c r="H938" s="20" t="inlineStr">
        <is>
          <t>A333</t>
        </is>
      </c>
      <c r="I938" s="22" t="n">
        <v>2</v>
      </c>
      <c r="J938" s="21" t="inlineStr">
        <is>
          <t>XS</t>
        </is>
      </c>
      <c r="K938" s="20" t="inlineStr">
        <is>
          <t>I64108762</t>
        </is>
      </c>
      <c r="L938" s="22" t="n">
        <v>56.1</v>
      </c>
      <c r="M938" s="20">
        <f>IFERROR(LEFT(B938,SEARCH("_Rev",B938)-1),B938)</f>
        <v/>
      </c>
      <c r="N938" s="20">
        <f>IF(B938="","",IF(ISNUMBER(C938),IF(COUNTIFS($M$3:$M$1026,M938,$C$3:$C$1026,"&gt;"&amp;C938)=0,"CURRENT","SUPERSEDED"),"CURRENT"))</f>
        <v/>
      </c>
      <c r="O938" s="19" t="n"/>
    </row>
    <row r="939">
      <c r="A939" s="19" t="n"/>
      <c r="B939" s="20" t="inlineStr">
        <is>
          <t>4503-XH-DL-8905-8972-5004-IPE-04_Rev0</t>
        </is>
      </c>
      <c r="C939" s="21" t="n">
        <v>0</v>
      </c>
      <c r="D939" s="21" t="inlineStr">
        <is>
          <t>13.08.2026</t>
        </is>
      </c>
      <c r="E939" s="20" t="inlineStr">
        <is>
          <t>IFC - ISSUED FOR CONSTRUCTION</t>
        </is>
      </c>
      <c r="F939" s="21" t="n">
        <v>8905</v>
      </c>
      <c r="G939" s="20" t="inlineStr">
        <is>
          <t>PIPE B36.10/36.19 A333 6-SMLS BE BE</t>
        </is>
      </c>
      <c r="H939" s="20" t="inlineStr">
        <is>
          <t>A333</t>
        </is>
      </c>
      <c r="I939" s="22" t="n">
        <v>2</v>
      </c>
      <c r="J939" s="21" t="inlineStr">
        <is>
          <t>XS</t>
        </is>
      </c>
      <c r="K939" s="20" t="inlineStr">
        <is>
          <t>I64108762</t>
        </is>
      </c>
      <c r="L939" s="22" t="n">
        <v>21.5</v>
      </c>
      <c r="M939" s="20">
        <f>IFERROR(LEFT(B939,SEARCH("_Rev",B939)-1),B939)</f>
        <v/>
      </c>
      <c r="N939" s="20">
        <f>IF(B939="","",IF(ISNUMBER(C939),IF(COUNTIFS($M$3:$M$1026,M939,$C$3:$C$1026,"&gt;"&amp;C939)=0,"CURRENT","SUPERSEDED"),"CURRENT"))</f>
        <v/>
      </c>
      <c r="O939" s="19" t="n"/>
    </row>
    <row r="940">
      <c r="A940" s="19" t="n"/>
      <c r="B940" s="20" t="inlineStr">
        <is>
          <t>4503-XH-DL-8905-8972-5004-IPE-05_Rev0</t>
        </is>
      </c>
      <c r="C940" s="21" t="n">
        <v>0</v>
      </c>
      <c r="D940" s="21" t="inlineStr">
        <is>
          <t>13.08.2026</t>
        </is>
      </c>
      <c r="E940" s="20" t="inlineStr">
        <is>
          <t>IFC - ISSUED FOR CONSTRUCTION</t>
        </is>
      </c>
      <c r="F940" s="21" t="n">
        <v>8905</v>
      </c>
      <c r="G940" s="20" t="inlineStr">
        <is>
          <t>PIPE B36.10/36.19 A333 6-SMLS BE BE</t>
        </is>
      </c>
      <c r="H940" s="20" t="inlineStr">
        <is>
          <t>A333</t>
        </is>
      </c>
      <c r="I940" s="22" t="n">
        <v>2</v>
      </c>
      <c r="J940" s="21" t="inlineStr">
        <is>
          <t>XS</t>
        </is>
      </c>
      <c r="K940" s="20" t="inlineStr">
        <is>
          <t>I64108762</t>
        </is>
      </c>
      <c r="L940" s="22" t="n">
        <v>5.4</v>
      </c>
      <c r="M940" s="20">
        <f>IFERROR(LEFT(B940,SEARCH("_Rev",B940)-1),B940)</f>
        <v/>
      </c>
      <c r="N940" s="20">
        <f>IF(B940="","",IF(ISNUMBER(C940),IF(COUNTIFS($M$3:$M$1026,M940,$C$3:$C$1026,"&gt;"&amp;C940)=0,"CURRENT","SUPERSEDED"),"CURRENT"))</f>
        <v/>
      </c>
      <c r="O940" s="19" t="n"/>
    </row>
    <row r="941">
      <c r="A941" s="19" t="n"/>
      <c r="B941" s="20" t="inlineStr">
        <is>
          <t>4503-XH-DL-8905-8972-5004-IPE-06_Rev0</t>
        </is>
      </c>
      <c r="C941" s="21" t="n">
        <v>0</v>
      </c>
      <c r="D941" s="21" t="inlineStr">
        <is>
          <t>13.08.2026</t>
        </is>
      </c>
      <c r="E941" s="20" t="inlineStr">
        <is>
          <t>IFC - ISSUED FOR CONSTRUCTION</t>
        </is>
      </c>
      <c r="F941" s="21" t="n">
        <v>8905</v>
      </c>
      <c r="G941" s="20" t="inlineStr">
        <is>
          <t>PIPE B36.10/36.19 A333 6-SMLS BE BE</t>
        </is>
      </c>
      <c r="H941" s="20" t="inlineStr">
        <is>
          <t>A333</t>
        </is>
      </c>
      <c r="I941" s="22" t="n">
        <v>2</v>
      </c>
      <c r="J941" s="21" t="inlineStr">
        <is>
          <t>XS</t>
        </is>
      </c>
      <c r="K941" s="20" t="inlineStr">
        <is>
          <t>I64108762</t>
        </is>
      </c>
      <c r="L941" s="22" t="n">
        <v>41</v>
      </c>
      <c r="M941" s="20">
        <f>IFERROR(LEFT(B941,SEARCH("_Rev",B941)-1),B941)</f>
        <v/>
      </c>
      <c r="N941" s="20">
        <f>IF(B941="","",IF(ISNUMBER(C941),IF(COUNTIFS($M$3:$M$1026,M941,$C$3:$C$1026,"&gt;"&amp;C941)=0,"CURRENT","SUPERSEDED"),"CURRENT"))</f>
        <v/>
      </c>
      <c r="O941" s="19" t="n"/>
    </row>
    <row r="942">
      <c r="A942" s="19" t="n"/>
      <c r="B942" s="20" t="inlineStr">
        <is>
          <t>4503-XH-DL-8905-8972-5004-IPE-07_Rev0</t>
        </is>
      </c>
      <c r="C942" s="21" t="n">
        <v>0</v>
      </c>
      <c r="D942" s="21" t="inlineStr">
        <is>
          <t>13.08.2026</t>
        </is>
      </c>
      <c r="E942" s="20" t="inlineStr">
        <is>
          <t>IFC - ISSUED FOR CONSTRUCTION</t>
        </is>
      </c>
      <c r="F942" s="21" t="n">
        <v>8905</v>
      </c>
      <c r="G942" s="20" t="inlineStr">
        <is>
          <t>PIPE B36.10/36.19 A333 6-SMLS BE BE</t>
        </is>
      </c>
      <c r="H942" s="20" t="inlineStr">
        <is>
          <t>A333</t>
        </is>
      </c>
      <c r="I942" s="22" t="n">
        <v>2</v>
      </c>
      <c r="J942" s="21" t="inlineStr">
        <is>
          <t>XS</t>
        </is>
      </c>
      <c r="K942" s="20" t="inlineStr">
        <is>
          <t>I64108762</t>
        </is>
      </c>
      <c r="L942" s="22" t="n">
        <v>9.5</v>
      </c>
      <c r="M942" s="20">
        <f>IFERROR(LEFT(B942,SEARCH("_Rev",B942)-1),B942)</f>
        <v/>
      </c>
      <c r="N942" s="20">
        <f>IF(B942="","",IF(ISNUMBER(C942),IF(COUNTIFS($M$3:$M$1026,M942,$C$3:$C$1026,"&gt;"&amp;C942)=0,"CURRENT","SUPERSEDED"),"CURRENT"))</f>
        <v/>
      </c>
      <c r="O942" s="19" t="n"/>
    </row>
    <row r="943">
      <c r="A943" s="19" t="n"/>
      <c r="B943" s="20" t="inlineStr">
        <is>
          <t>4503-XH-DL-8905-8973-5001-P-01_Rev0</t>
        </is>
      </c>
      <c r="C943" s="21" t="n">
        <v>0</v>
      </c>
      <c r="D943" s="21" t="inlineStr">
        <is>
          <t>20.08.2026</t>
        </is>
      </c>
      <c r="E943" s="20" t="inlineStr">
        <is>
          <t>IFC - ISSUEDFOR CONSTRUCTION</t>
        </is>
      </c>
      <c r="F943" s="21" t="n">
        <v>8905</v>
      </c>
      <c r="G943" s="20" t="inlineStr">
        <is>
          <t>PIPE B36.10/36.19 A333 6-SMLS BE BE</t>
        </is>
      </c>
      <c r="H943" s="20" t="inlineStr">
        <is>
          <t>A333</t>
        </is>
      </c>
      <c r="I943" s="22" t="n">
        <v>2</v>
      </c>
      <c r="J943" s="21" t="inlineStr">
        <is>
          <t>XS</t>
        </is>
      </c>
      <c r="K943" s="20" t="inlineStr">
        <is>
          <t>I64108762</t>
        </is>
      </c>
      <c r="L943" s="22" t="n">
        <v>48</v>
      </c>
      <c r="M943" s="20">
        <f>IFERROR(LEFT(B943,SEARCH("_Rev",B943)-1),B943)</f>
        <v/>
      </c>
      <c r="N943" s="20">
        <f>IF(B943="","",IF(ISNUMBER(C943),IF(COUNTIFS($M$3:$M$1026,M943,$C$3:$C$1026,"&gt;"&amp;C943)=0,"CURRENT","SUPERSEDED"),"CURRENT"))</f>
        <v/>
      </c>
      <c r="O943" s="19" t="n"/>
    </row>
    <row r="944">
      <c r="A944" s="19" t="n"/>
      <c r="B944" s="20" t="inlineStr">
        <is>
          <t>4503-XH-DL-8905-8973-5001-P-02_Rev0</t>
        </is>
      </c>
      <c r="C944" s="21" t="n">
        <v>0</v>
      </c>
      <c r="D944" s="21" t="inlineStr">
        <is>
          <t>20.08.2026</t>
        </is>
      </c>
      <c r="E944" s="20" t="inlineStr">
        <is>
          <t>IFC - ISSUEDFOR CONSTRUCTION</t>
        </is>
      </c>
      <c r="F944" s="21" t="n">
        <v>8905</v>
      </c>
      <c r="G944" s="20" t="inlineStr">
        <is>
          <t>PIPE B36.10/36.19 A333 6-SMLS BE BE</t>
        </is>
      </c>
      <c r="H944" s="20" t="inlineStr">
        <is>
          <t>A333</t>
        </is>
      </c>
      <c r="I944" s="22" t="n">
        <v>2</v>
      </c>
      <c r="J944" s="21" t="inlineStr">
        <is>
          <t>XS</t>
        </is>
      </c>
      <c r="K944" s="20" t="inlineStr">
        <is>
          <t>I64108762</t>
        </is>
      </c>
      <c r="L944" s="22" t="n">
        <v>34.4</v>
      </c>
      <c r="M944" s="20">
        <f>IFERROR(LEFT(B944,SEARCH("_Rev",B944)-1),B944)</f>
        <v/>
      </c>
      <c r="N944" s="20">
        <f>IF(B944="","",IF(ISNUMBER(C944),IF(COUNTIFS($M$3:$M$1026,M944,$C$3:$C$1026,"&gt;"&amp;C944)=0,"CURRENT","SUPERSEDED"),"CURRENT"))</f>
        <v/>
      </c>
      <c r="O944" s="19" t="n"/>
    </row>
    <row r="945">
      <c r="A945" s="19" t="n"/>
      <c r="B945" s="20" t="inlineStr">
        <is>
          <t>4503-XH-DL-8905-8973-5001-P-03_Rev0</t>
        </is>
      </c>
      <c r="C945" s="21" t="n">
        <v>0</v>
      </c>
      <c r="D945" s="21" t="inlineStr">
        <is>
          <t>20.08.2026</t>
        </is>
      </c>
      <c r="E945" s="20" t="inlineStr">
        <is>
          <t>IFC - ISSUEDFOR CONSTRUCTION</t>
        </is>
      </c>
      <c r="F945" s="21" t="n">
        <v>8905</v>
      </c>
      <c r="G945" s="20" t="inlineStr">
        <is>
          <t>PIPE B36.10/36.19 A333 6-SMLS BE BE</t>
        </is>
      </c>
      <c r="H945" s="20" t="inlineStr">
        <is>
          <t>A333</t>
        </is>
      </c>
      <c r="I945" s="22" t="n">
        <v>2</v>
      </c>
      <c r="J945" s="21" t="inlineStr">
        <is>
          <t>XS</t>
        </is>
      </c>
      <c r="K945" s="20" t="inlineStr">
        <is>
          <t>I64108762</t>
        </is>
      </c>
      <c r="L945" s="22" t="n">
        <v>76.7</v>
      </c>
      <c r="M945" s="20">
        <f>IFERROR(LEFT(B945,SEARCH("_Rev",B945)-1),B945)</f>
        <v/>
      </c>
      <c r="N945" s="20">
        <f>IF(B945="","",IF(ISNUMBER(C945),IF(COUNTIFS($M$3:$M$1026,M945,$C$3:$C$1026,"&gt;"&amp;C945)=0,"CURRENT","SUPERSEDED"),"CURRENT"))</f>
        <v/>
      </c>
      <c r="O945" s="19" t="n"/>
    </row>
    <row r="946">
      <c r="A946" s="19" t="n"/>
      <c r="B946" s="20" t="inlineStr">
        <is>
          <t>4503-XH-DL-8905-8973-5001-P-04_Rev0</t>
        </is>
      </c>
      <c r="C946" s="21" t="n">
        <v>0</v>
      </c>
      <c r="D946" s="21" t="inlineStr">
        <is>
          <t>27.08.2026</t>
        </is>
      </c>
      <c r="E946" s="20" t="inlineStr">
        <is>
          <t>IFC - ISSUED FOR CONSTRUCTION</t>
        </is>
      </c>
      <c r="F946" s="21" t="n">
        <v>8905</v>
      </c>
      <c r="G946" s="20" t="inlineStr">
        <is>
          <t>PIPE B36.10/36.19 A333 6-SMLS BE BE</t>
        </is>
      </c>
      <c r="H946" s="20" t="inlineStr">
        <is>
          <t>A333</t>
        </is>
      </c>
      <c r="I946" s="22" t="n">
        <v>2</v>
      </c>
      <c r="J946" s="21" t="inlineStr">
        <is>
          <t>XS</t>
        </is>
      </c>
      <c r="K946" s="20" t="inlineStr">
        <is>
          <t>I64108762</t>
        </is>
      </c>
      <c r="L946" s="22" t="n">
        <v>30.2</v>
      </c>
      <c r="M946" s="20">
        <f>IFERROR(LEFT(B946,SEARCH("_Rev",B946)-1),B946)</f>
        <v/>
      </c>
      <c r="N946" s="20">
        <f>IF(B946="","",IF(ISNUMBER(C946),IF(COUNTIFS($M$3:$M$1026,M946,$C$3:$C$1026,"&gt;"&amp;C946)=0,"CURRENT","SUPERSEDED"),"CURRENT"))</f>
        <v/>
      </c>
      <c r="O946" s="19" t="n"/>
    </row>
    <row r="947">
      <c r="A947" s="19" t="n"/>
      <c r="B947" s="20" t="inlineStr">
        <is>
          <t>4503-XH-DL-8905-8973-5001-P-05_Rev0</t>
        </is>
      </c>
      <c r="C947" s="21" t="n">
        <v>0</v>
      </c>
      <c r="D947" s="21" t="inlineStr">
        <is>
          <t>20.08.2026</t>
        </is>
      </c>
      <c r="E947" s="20" t="inlineStr">
        <is>
          <t>IFC - ISSUEDFOR CONSTRUCTION</t>
        </is>
      </c>
      <c r="F947" s="21" t="n">
        <v>8905</v>
      </c>
      <c r="G947" s="20" t="inlineStr">
        <is>
          <t>PIPE B36.10/36.19 A333 6-SMLS BE BE</t>
        </is>
      </c>
      <c r="H947" s="20" t="inlineStr">
        <is>
          <t>A333</t>
        </is>
      </c>
      <c r="I947" s="22" t="n">
        <v>2</v>
      </c>
      <c r="J947" s="21" t="inlineStr">
        <is>
          <t>XS</t>
        </is>
      </c>
      <c r="K947" s="20" t="inlineStr">
        <is>
          <t>I64108762</t>
        </is>
      </c>
      <c r="L947" s="22" t="n">
        <v>4.4</v>
      </c>
      <c r="M947" s="20">
        <f>IFERROR(LEFT(B947,SEARCH("_Rev",B947)-1),B947)</f>
        <v/>
      </c>
      <c r="N947" s="20">
        <f>IF(B947="","",IF(ISNUMBER(C947),IF(COUNTIFS($M$3:$M$1026,M947,$C$3:$C$1026,"&gt;"&amp;C947)=0,"CURRENT","SUPERSEDED"),"CURRENT"))</f>
        <v/>
      </c>
      <c r="O947" s="19" t="n"/>
    </row>
    <row r="948">
      <c r="A948" s="19" t="n"/>
      <c r="B948" s="20" t="inlineStr">
        <is>
          <t>4503-XH-DL-8906-8941-1001-HWS1-01_Rev0</t>
        </is>
      </c>
      <c r="C948" s="21" t="n">
        <v>0</v>
      </c>
      <c r="D948" s="21" t="inlineStr">
        <is>
          <t>24.08.2026</t>
        </is>
      </c>
      <c r="E948" s="20" t="inlineStr">
        <is>
          <t>IFC-ISSUED FOR CONSTRUCTION</t>
        </is>
      </c>
      <c r="F948" s="21" t="n">
        <v>8906</v>
      </c>
      <c r="G948" s="20" t="inlineStr">
        <is>
          <t>PIPE B36.10/36.19 A333 6-SMLS BE BE</t>
        </is>
      </c>
      <c r="H948" s="20" t="inlineStr">
        <is>
          <t>A333</t>
        </is>
      </c>
      <c r="I948" s="22" t="n">
        <v>10</v>
      </c>
      <c r="J948" s="21" t="inlineStr">
        <is>
          <t>STD</t>
        </is>
      </c>
      <c r="K948" s="20" t="inlineStr">
        <is>
          <t>I64108754</t>
        </is>
      </c>
      <c r="L948" s="22" t="n">
        <v>28.4</v>
      </c>
      <c r="M948" s="20">
        <f>IFERROR(LEFT(B948,SEARCH("_Rev",B948)-1),B948)</f>
        <v/>
      </c>
      <c r="N948" s="20">
        <f>IF(B948="","",IF(ISNUMBER(C948),IF(COUNTIFS($M$3:$M$1026,M948,$C$3:$C$1026,"&gt;"&amp;C948)=0,"CURRENT","SUPERSEDED"),"CURRENT"))</f>
        <v/>
      </c>
      <c r="O948" s="19" t="n"/>
    </row>
    <row r="949">
      <c r="A949" s="19" t="n"/>
      <c r="B949" s="20" t="inlineStr">
        <is>
          <t>4503-XH-DL-8906-8941-1001-HWS1-01_Rev0</t>
        </is>
      </c>
      <c r="C949" s="21" t="n">
        <v>0</v>
      </c>
      <c r="D949" s="21" t="inlineStr">
        <is>
          <t>24.08.2026</t>
        </is>
      </c>
      <c r="E949" s="20" t="inlineStr">
        <is>
          <t>IFC-ISSUED FOR CONSTRUCTION</t>
        </is>
      </c>
      <c r="F949" s="21" t="n">
        <v>8906</v>
      </c>
      <c r="G949" s="20" t="inlineStr">
        <is>
          <t>PIPE B36.10/36.19 A333 6-SMLS BE BE</t>
        </is>
      </c>
      <c r="H949" s="20" t="inlineStr">
        <is>
          <t>A333</t>
        </is>
      </c>
      <c r="I949" s="22" t="n">
        <v>8</v>
      </c>
      <c r="J949" s="21" t="inlineStr">
        <is>
          <t>STD</t>
        </is>
      </c>
      <c r="K949" s="20" t="inlineStr">
        <is>
          <t>I64108766</t>
        </is>
      </c>
      <c r="L949" s="22" t="n">
        <v>47.4</v>
      </c>
      <c r="M949" s="20">
        <f>IFERROR(LEFT(B949,SEARCH("_Rev",B949)-1),B949)</f>
        <v/>
      </c>
      <c r="N949" s="20">
        <f>IF(B949="","",IF(ISNUMBER(C949),IF(COUNTIFS($M$3:$M$1026,M949,$C$3:$C$1026,"&gt;"&amp;C949)=0,"CURRENT","SUPERSEDED"),"CURRENT"))</f>
        <v/>
      </c>
      <c r="O949" s="19" t="n"/>
    </row>
    <row r="950">
      <c r="A950" s="19" t="n"/>
      <c r="B950" s="20" t="inlineStr">
        <is>
          <t>4503-XH-DL-8906-8941-1001-HWS1-02_Rev0</t>
        </is>
      </c>
      <c r="C950" s="21" t="n">
        <v>0</v>
      </c>
      <c r="D950" s="21" t="inlineStr">
        <is>
          <t>24.08.2026</t>
        </is>
      </c>
      <c r="E950" s="20" t="inlineStr">
        <is>
          <t>IFC-ISSUED FOR CONSTRUCTION</t>
        </is>
      </c>
      <c r="F950" s="21" t="n">
        <v>8906</v>
      </c>
      <c r="G950" s="20" t="inlineStr">
        <is>
          <t>PIPE B36.10/36.19 A333 6-SMLS BE BE</t>
        </is>
      </c>
      <c r="H950" s="20" t="inlineStr">
        <is>
          <t>A333</t>
        </is>
      </c>
      <c r="I950" s="22" t="n">
        <v>8</v>
      </c>
      <c r="J950" s="21" t="inlineStr">
        <is>
          <t>STD</t>
        </is>
      </c>
      <c r="K950" s="20" t="inlineStr">
        <is>
          <t>I64108766</t>
        </is>
      </c>
      <c r="L950" s="22" t="n">
        <v>58.8</v>
      </c>
      <c r="M950" s="20">
        <f>IFERROR(LEFT(B950,SEARCH("_Rev",B950)-1),B950)</f>
        <v/>
      </c>
      <c r="N950" s="20">
        <f>IF(B950="","",IF(ISNUMBER(C950),IF(COUNTIFS($M$3:$M$1026,M950,$C$3:$C$1026,"&gt;"&amp;C950)=0,"CURRENT","SUPERSEDED"),"CURRENT"))</f>
        <v/>
      </c>
      <c r="O950" s="19" t="n"/>
    </row>
    <row r="951">
      <c r="A951" s="19" t="n"/>
      <c r="B951" s="20" t="inlineStr">
        <is>
          <t>4503-XH-DL-8906-8941-1001-HWS1-03_Rev0</t>
        </is>
      </c>
      <c r="C951" s="21" t="n">
        <v>0</v>
      </c>
      <c r="D951" s="21" t="inlineStr">
        <is>
          <t>24.08.2026</t>
        </is>
      </c>
      <c r="E951" s="20" t="inlineStr">
        <is>
          <t>IFC-ISSUED FOR CONSTRUCTION</t>
        </is>
      </c>
      <c r="F951" s="21" t="n">
        <v>8906</v>
      </c>
      <c r="G951" s="20" t="inlineStr">
        <is>
          <t>PIPE B36.10/36.19 A333 6-SMLS BE BE</t>
        </is>
      </c>
      <c r="H951" s="20" t="inlineStr">
        <is>
          <t>A333</t>
        </is>
      </c>
      <c r="I951" s="22" t="n">
        <v>8</v>
      </c>
      <c r="J951" s="21" t="inlineStr">
        <is>
          <t>STD</t>
        </is>
      </c>
      <c r="K951" s="20" t="inlineStr">
        <is>
          <t>I64108766</t>
        </is>
      </c>
      <c r="L951" s="22" t="n">
        <v>98.5</v>
      </c>
      <c r="M951" s="20">
        <f>IFERROR(LEFT(B951,SEARCH("_Rev",B951)-1),B951)</f>
        <v/>
      </c>
      <c r="N951" s="20">
        <f>IF(B951="","",IF(ISNUMBER(C951),IF(COUNTIFS($M$3:$M$1026,M951,$C$3:$C$1026,"&gt;"&amp;C951)=0,"CURRENT","SUPERSEDED"),"CURRENT"))</f>
        <v/>
      </c>
      <c r="O951" s="19" t="n"/>
    </row>
    <row r="952">
      <c r="A952" s="19" t="n"/>
      <c r="B952" s="20" t="inlineStr">
        <is>
          <t>4503-XH-DL-8906-8941-1011-HWS1-01_Rev0</t>
        </is>
      </c>
      <c r="C952" s="21" t="n">
        <v>0</v>
      </c>
      <c r="D952" s="21" t="inlineStr">
        <is>
          <t>24.08.2026</t>
        </is>
      </c>
      <c r="E952" s="20" t="inlineStr">
        <is>
          <t>IFC-ISSUED FOR CONSTRUCTION</t>
        </is>
      </c>
      <c r="F952" s="21" t="n">
        <v>8906</v>
      </c>
      <c r="G952" s="20" t="inlineStr">
        <is>
          <t>PIPE B36.10/36.19 A333 6-SMLS BE BE</t>
        </is>
      </c>
      <c r="H952" s="20" t="inlineStr">
        <is>
          <t>A333</t>
        </is>
      </c>
      <c r="I952" s="22" t="n">
        <v>10</v>
      </c>
      <c r="J952" s="21" t="inlineStr">
        <is>
          <t>STD</t>
        </is>
      </c>
      <c r="K952" s="20" t="inlineStr">
        <is>
          <t>I64108754</t>
        </is>
      </c>
      <c r="L952" s="22" t="n">
        <v>16.4</v>
      </c>
      <c r="M952" s="20">
        <f>IFERROR(LEFT(B952,SEARCH("_Rev",B952)-1),B952)</f>
        <v/>
      </c>
      <c r="N952" s="20">
        <f>IF(B952="","",IF(ISNUMBER(C952),IF(COUNTIFS($M$3:$M$1026,M952,$C$3:$C$1026,"&gt;"&amp;C952)=0,"CURRENT","SUPERSEDED"),"CURRENT"))</f>
        <v/>
      </c>
      <c r="O952" s="19" t="n"/>
    </row>
    <row r="953">
      <c r="A953" s="19" t="n"/>
      <c r="B953" s="20" t="inlineStr">
        <is>
          <t>4503-XH-DL-8906-8960-1103-NG-01_Rev0</t>
        </is>
      </c>
      <c r="C953" s="21" t="n">
        <v>0</v>
      </c>
      <c r="D953" s="21" t="inlineStr">
        <is>
          <t>24.08.2026</t>
        </is>
      </c>
      <c r="E953" s="20" t="inlineStr">
        <is>
          <t>IFC-ISSUED FOR CONSTRUCTION</t>
        </is>
      </c>
      <c r="F953" s="21" t="n">
        <v>8906</v>
      </c>
      <c r="G953" s="20" t="inlineStr">
        <is>
          <t>PIPE B36.10/36.19 A333 6-SMLS BE BE</t>
        </is>
      </c>
      <c r="H953" s="20" t="inlineStr">
        <is>
          <t>A333</t>
        </is>
      </c>
      <c r="I953" s="22" t="n">
        <v>18</v>
      </c>
      <c r="J953" s="21" t="inlineStr">
        <is>
          <t>STD</t>
        </is>
      </c>
      <c r="K953" s="20" t="inlineStr">
        <is>
          <t>I64955965</t>
        </is>
      </c>
      <c r="L953" s="22" t="n">
        <v>40.1</v>
      </c>
      <c r="M953" s="20">
        <f>IFERROR(LEFT(B953,SEARCH("_Rev",B953)-1),B953)</f>
        <v/>
      </c>
      <c r="N953" s="20">
        <f>IF(B953="","",IF(ISNUMBER(C953),IF(COUNTIFS($M$3:$M$1026,M953,$C$3:$C$1026,"&gt;"&amp;C953)=0,"CURRENT","SUPERSEDED"),"CURRENT"))</f>
        <v/>
      </c>
      <c r="O953" s="19" t="n"/>
    </row>
    <row r="954">
      <c r="A954" s="19" t="n"/>
      <c r="B954" s="20" t="inlineStr">
        <is>
          <t>4503-XH-DL-8906-8981-1301-WW22-01_Rev0</t>
        </is>
      </c>
      <c r="C954" s="21" t="n">
        <v>0</v>
      </c>
      <c r="D954" s="21" t="inlineStr">
        <is>
          <t>24.08.2026</t>
        </is>
      </c>
      <c r="E954" s="20" t="inlineStr">
        <is>
          <t>IFC-ISSUED FOR CONSTRUCTION</t>
        </is>
      </c>
      <c r="F954" s="21" t="n">
        <v>8906</v>
      </c>
      <c r="G954" s="20" t="inlineStr">
        <is>
          <t>PIPE B36.10/36.19 A333 6-SMLS BE BE</t>
        </is>
      </c>
      <c r="H954" s="20" t="inlineStr">
        <is>
          <t>A333</t>
        </is>
      </c>
      <c r="I954" s="22" t="n">
        <v>16</v>
      </c>
      <c r="J954" s="21" t="inlineStr">
        <is>
          <t>STD</t>
        </is>
      </c>
      <c r="K954" s="20" t="inlineStr">
        <is>
          <t>I65585719</t>
        </is>
      </c>
      <c r="L954" s="22" t="n">
        <v>34.2</v>
      </c>
      <c r="M954" s="20">
        <f>IFERROR(LEFT(B954,SEARCH("_Rev",B954)-1),B954)</f>
        <v/>
      </c>
      <c r="N954" s="20">
        <f>IF(B954="","",IF(ISNUMBER(C954),IF(COUNTIFS($M$3:$M$1026,M954,$C$3:$C$1026,"&gt;"&amp;C954)=0,"CURRENT","SUPERSEDED"),"CURRENT"))</f>
        <v/>
      </c>
      <c r="O954" s="19" t="n"/>
    </row>
    <row r="955">
      <c r="A955" s="19" t="n"/>
      <c r="B955" s="20" t="inlineStr">
        <is>
          <t>4503-XH-DL-8906-8982-1201-SW2-01_Rev0</t>
        </is>
      </c>
      <c r="C955" s="21" t="n">
        <v>0</v>
      </c>
      <c r="D955" s="21" t="inlineStr">
        <is>
          <t>24.08.2026</t>
        </is>
      </c>
      <c r="E955" s="20" t="inlineStr">
        <is>
          <t>IFC-ISSUED FOR CONSTRUCTION</t>
        </is>
      </c>
      <c r="F955" s="21" t="n">
        <v>8906</v>
      </c>
      <c r="G955" s="20" t="inlineStr">
        <is>
          <t>PIPE B36.10/36.19 A333 6-SMLS BE BE</t>
        </is>
      </c>
      <c r="H955" s="20" t="inlineStr">
        <is>
          <t>A333</t>
        </is>
      </c>
      <c r="I955" s="22" t="n">
        <v>16</v>
      </c>
      <c r="J955" s="21" t="inlineStr">
        <is>
          <t>STD</t>
        </is>
      </c>
      <c r="K955" s="20" t="inlineStr">
        <is>
          <t>I65585719</t>
        </is>
      </c>
      <c r="L955" s="22" t="n">
        <v>28.4</v>
      </c>
      <c r="M955" s="20">
        <f>IFERROR(LEFT(B955,SEARCH("_Rev",B955)-1),B955)</f>
        <v/>
      </c>
      <c r="N955" s="20">
        <f>IF(B955="","",IF(ISNUMBER(C955),IF(COUNTIFS($M$3:$M$1026,M955,$C$3:$C$1026,"&gt;"&amp;C955)=0,"CURRENT","SUPERSEDED"),"CURRENT"))</f>
        <v/>
      </c>
      <c r="O955" s="19" t="n"/>
    </row>
    <row r="956">
      <c r="A956" s="19" t="n"/>
      <c r="B956" s="20" t="inlineStr">
        <is>
          <t>4503-XH-DL-8906-8982-1202-SW2-01_Rev0</t>
        </is>
      </c>
      <c r="C956" s="21" t="n">
        <v>0</v>
      </c>
      <c r="D956" s="21" t="inlineStr">
        <is>
          <t>24.08.2026</t>
        </is>
      </c>
      <c r="E956" s="20" t="inlineStr">
        <is>
          <t>IFC-ISSUED FOR CONSTRUCTION</t>
        </is>
      </c>
      <c r="F956" s="21" t="n">
        <v>8906</v>
      </c>
      <c r="G956" s="20" t="inlineStr">
        <is>
          <t>PIPE B36.10/36.19 A333 6-SMLS BE BE</t>
        </is>
      </c>
      <c r="H956" s="20" t="inlineStr">
        <is>
          <t>A333</t>
        </is>
      </c>
      <c r="I956" s="22" t="n">
        <v>14</v>
      </c>
      <c r="J956" s="21" t="inlineStr">
        <is>
          <t>STD</t>
        </is>
      </c>
      <c r="K956" s="20" t="inlineStr">
        <is>
          <t>I63649172</t>
        </is>
      </c>
      <c r="L956" s="22" t="n">
        <v>203.6</v>
      </c>
      <c r="M956" s="20">
        <f>IFERROR(LEFT(B956,SEARCH("_Rev",B956)-1),B956)</f>
        <v/>
      </c>
      <c r="N956" s="20">
        <f>IF(B956="","",IF(ISNUMBER(C956),IF(COUNTIFS($M$3:$M$1026,M956,$C$3:$C$1026,"&gt;"&amp;C956)=0,"CURRENT","SUPERSEDED"),"CURRENT"))</f>
        <v/>
      </c>
      <c r="O956" s="19" t="n"/>
    </row>
    <row r="957">
      <c r="A957" s="19" t="n"/>
      <c r="B957" s="20" t="inlineStr">
        <is>
          <t>4503-XH-DL-8906-8982-1205-SW2-01_Rev0</t>
        </is>
      </c>
      <c r="C957" s="21" t="n">
        <v>0</v>
      </c>
      <c r="D957" s="21" t="inlineStr">
        <is>
          <t>24.08.2026</t>
        </is>
      </c>
      <c r="E957" s="20" t="inlineStr">
        <is>
          <t>IFC-ISSUED FOR CONSTRUCTION</t>
        </is>
      </c>
      <c r="F957" s="21" t="n">
        <v>8906</v>
      </c>
      <c r="G957" s="20" t="inlineStr">
        <is>
          <t>PIPE B36.10/36.19 A333 6-SMLS BE BE</t>
        </is>
      </c>
      <c r="H957" s="20" t="inlineStr">
        <is>
          <t>A333</t>
        </is>
      </c>
      <c r="I957" s="22" t="n">
        <v>12</v>
      </c>
      <c r="J957" s="21" t="inlineStr">
        <is>
          <t>STD</t>
        </is>
      </c>
      <c r="K957" s="20" t="inlineStr">
        <is>
          <t>I64955933</t>
        </is>
      </c>
      <c r="L957" s="22" t="n">
        <v>4.9</v>
      </c>
      <c r="M957" s="20">
        <f>IFERROR(LEFT(B957,SEARCH("_Rev",B957)-1),B957)</f>
        <v/>
      </c>
      <c r="N957" s="20">
        <f>IF(B957="","",IF(ISNUMBER(C957),IF(COUNTIFS($M$3:$M$1026,M957,$C$3:$C$1026,"&gt;"&amp;C957)=0,"CURRENT","SUPERSEDED"),"CURRENT"))</f>
        <v/>
      </c>
      <c r="O957" s="19" t="n"/>
    </row>
    <row r="958">
      <c r="A958" s="19" t="n"/>
      <c r="B958" s="20" t="inlineStr">
        <is>
          <t>4503-XH-DL-8907-8965-1005-PR-01_Rev0</t>
        </is>
      </c>
      <c r="C958" s="21" t="n">
        <v>0</v>
      </c>
      <c r="D958" s="21" t="inlineStr">
        <is>
          <t>24.08.2026</t>
        </is>
      </c>
      <c r="E958" s="20" t="inlineStr">
        <is>
          <t>IFC-ISSUED FOR CONSTRUCTION</t>
        </is>
      </c>
      <c r="F958" s="21" t="n">
        <v>8907</v>
      </c>
      <c r="G958" s="20" t="inlineStr">
        <is>
          <t>PIPE B36.10/36.19 A333 6-SMLS BE BE</t>
        </is>
      </c>
      <c r="H958" s="20" t="inlineStr">
        <is>
          <t>A333</t>
        </is>
      </c>
      <c r="I958" s="22" t="n">
        <v>12</v>
      </c>
      <c r="J958" s="21" t="inlineStr">
        <is>
          <t>STD</t>
        </is>
      </c>
      <c r="K958" s="20" t="inlineStr">
        <is>
          <t>I64955933</t>
        </is>
      </c>
      <c r="L958" s="22" t="n">
        <v>103.7</v>
      </c>
      <c r="M958" s="20">
        <f>IFERROR(LEFT(B958,SEARCH("_Rev",B958)-1),B958)</f>
        <v/>
      </c>
      <c r="N958" s="20">
        <f>IF(B958="","",IF(ISNUMBER(C958),IF(COUNTIFS($M$3:$M$1026,M958,$C$3:$C$1026,"&gt;"&amp;C958)=0,"CURRENT","SUPERSEDED"),"CURRENT"))</f>
        <v/>
      </c>
      <c r="O958" s="19" t="n"/>
    </row>
    <row r="959">
      <c r="A959" s="19" t="n"/>
      <c r="B959" s="20" t="inlineStr">
        <is>
          <t>4503-XH-DL-8907-8965-1005-PR-02_Rev0</t>
        </is>
      </c>
      <c r="C959" s="21" t="n">
        <v>0</v>
      </c>
      <c r="D959" s="21" t="inlineStr">
        <is>
          <t>24.08.2026</t>
        </is>
      </c>
      <c r="E959" s="20" t="inlineStr">
        <is>
          <t>IFC-ISSUED FOR CONSTRUCTION</t>
        </is>
      </c>
      <c r="F959" s="21" t="n">
        <v>8907</v>
      </c>
      <c r="G959" s="20" t="inlineStr">
        <is>
          <t>PIPE B36.10/36.19 A333 6-SMLS BE BE</t>
        </is>
      </c>
      <c r="H959" s="20" t="inlineStr">
        <is>
          <t>A333</t>
        </is>
      </c>
      <c r="I959" s="22" t="n">
        <v>12</v>
      </c>
      <c r="J959" s="21" t="inlineStr">
        <is>
          <t>STD</t>
        </is>
      </c>
      <c r="K959" s="20" t="inlineStr">
        <is>
          <t>I64955933</t>
        </is>
      </c>
      <c r="L959" s="22" t="n">
        <v>19.4</v>
      </c>
      <c r="M959" s="20">
        <f>IFERROR(LEFT(B959,SEARCH("_Rev",B959)-1),B959)</f>
        <v/>
      </c>
      <c r="N959" s="20">
        <f>IF(B959="","",IF(ISNUMBER(C959),IF(COUNTIFS($M$3:$M$1026,M959,$C$3:$C$1026,"&gt;"&amp;C959)=0,"CURRENT","SUPERSEDED"),"CURRENT"))</f>
        <v/>
      </c>
      <c r="O959" s="19" t="n"/>
    </row>
    <row r="960">
      <c r="A960" s="19" t="n"/>
      <c r="B960" s="20" t="inlineStr">
        <is>
          <t>4503-XH-DL-8907-8982-1202-SW2-01_Rev0</t>
        </is>
      </c>
      <c r="C960" s="21" t="n">
        <v>0</v>
      </c>
      <c r="D960" s="21" t="inlineStr">
        <is>
          <t>24.08.2026</t>
        </is>
      </c>
      <c r="E960" s="20" t="inlineStr">
        <is>
          <t>IFC-ISSUED FOR CONSTRUCTION</t>
        </is>
      </c>
      <c r="F960" s="21" t="n">
        <v>8907</v>
      </c>
      <c r="G960" s="20" t="inlineStr">
        <is>
          <t>PIPE B36.10/36.19 A333 6-SMLS BE BE</t>
        </is>
      </c>
      <c r="H960" s="20" t="inlineStr">
        <is>
          <t>A333</t>
        </is>
      </c>
      <c r="I960" s="22" t="n">
        <v>14</v>
      </c>
      <c r="J960" s="21" t="inlineStr">
        <is>
          <t>STD</t>
        </is>
      </c>
      <c r="K960" s="20" t="inlineStr">
        <is>
          <t>I63649172</t>
        </is>
      </c>
      <c r="L960" s="22" t="n">
        <v>69.3</v>
      </c>
      <c r="M960" s="20">
        <f>IFERROR(LEFT(B960,SEARCH("_Rev",B960)-1),B960)</f>
        <v/>
      </c>
      <c r="N960" s="20">
        <f>IF(B960="","",IF(ISNUMBER(C960),IF(COUNTIFS($M$3:$M$1026,M960,$C$3:$C$1026,"&gt;"&amp;C960)=0,"CURRENT","SUPERSEDED"),"CURRENT"))</f>
        <v/>
      </c>
      <c r="O960" s="19" t="n"/>
    </row>
    <row r="961">
      <c r="A961" s="19" t="n"/>
      <c r="B961" s="20" t="inlineStr">
        <is>
          <t>4503-XH-DL-8907-8982-1202-SW2-02_Rev0</t>
        </is>
      </c>
      <c r="C961" s="21" t="n">
        <v>0</v>
      </c>
      <c r="D961" s="21" t="inlineStr">
        <is>
          <t>24.08.2026</t>
        </is>
      </c>
      <c r="E961" s="20" t="inlineStr">
        <is>
          <t>IFC-ISSUED FOR CONSTRUCTION</t>
        </is>
      </c>
      <c r="F961" s="21" t="n">
        <v>8907</v>
      </c>
      <c r="G961" s="20" t="inlineStr">
        <is>
          <t>PIPE B36.10/36.19 A333 6-SMLS BE BE</t>
        </is>
      </c>
      <c r="H961" s="20" t="inlineStr">
        <is>
          <t>A333</t>
        </is>
      </c>
      <c r="I961" s="22" t="n">
        <v>14</v>
      </c>
      <c r="J961" s="21" t="inlineStr">
        <is>
          <t>STD</t>
        </is>
      </c>
      <c r="K961" s="20" t="inlineStr">
        <is>
          <t>I63649172</t>
        </is>
      </c>
      <c r="L961" s="22" t="n">
        <v>155.6</v>
      </c>
      <c r="M961" s="20">
        <f>IFERROR(LEFT(B961,SEARCH("_Rev",B961)-1),B961)</f>
        <v/>
      </c>
      <c r="N961" s="20">
        <f>IF(B961="","",IF(ISNUMBER(C961),IF(COUNTIFS($M$3:$M$1026,M961,$C$3:$C$1026,"&gt;"&amp;C961)=0,"CURRENT","SUPERSEDED"),"CURRENT"))</f>
        <v/>
      </c>
      <c r="O961" s="19" t="n"/>
    </row>
    <row r="962">
      <c r="A962" s="19" t="n"/>
      <c r="B962" s="20" t="inlineStr">
        <is>
          <t>4503-XH-DL-8907-8982-1202-SW2-03_Rev0</t>
        </is>
      </c>
      <c r="C962" s="21" t="n">
        <v>0</v>
      </c>
      <c r="D962" s="21" t="inlineStr">
        <is>
          <t>24.08.2026</t>
        </is>
      </c>
      <c r="E962" s="20" t="inlineStr">
        <is>
          <t>IFC-ISSUED FOR CONSTRUCTION</t>
        </is>
      </c>
      <c r="F962" s="21" t="n">
        <v>8907</v>
      </c>
      <c r="G962" s="20" t="inlineStr">
        <is>
          <t>PIPE B36.10/36.19 A333 6-SMLS BE BE</t>
        </is>
      </c>
      <c r="H962" s="20" t="inlineStr">
        <is>
          <t>A333</t>
        </is>
      </c>
      <c r="I962" s="22" t="n">
        <v>14</v>
      </c>
      <c r="J962" s="21" t="inlineStr">
        <is>
          <t>STD</t>
        </is>
      </c>
      <c r="K962" s="20" t="inlineStr">
        <is>
          <t>I63649172</t>
        </is>
      </c>
      <c r="L962" s="22" t="n">
        <v>124.5</v>
      </c>
      <c r="M962" s="20">
        <f>IFERROR(LEFT(B962,SEARCH("_Rev",B962)-1),B962)</f>
        <v/>
      </c>
      <c r="N962" s="20">
        <f>IF(B962="","",IF(ISNUMBER(C962),IF(COUNTIFS($M$3:$M$1026,M962,$C$3:$C$1026,"&gt;"&amp;C962)=0,"CURRENT","SUPERSEDED"),"CURRENT"))</f>
        <v/>
      </c>
      <c r="O962" s="19" t="n"/>
    </row>
    <row r="963">
      <c r="A963" s="19" t="n"/>
      <c r="B963" s="20" t="inlineStr">
        <is>
          <t>4503-XH-DL-8907-8982-1202-SW2-04_Rev0</t>
        </is>
      </c>
      <c r="C963" s="21" t="n">
        <v>0</v>
      </c>
      <c r="D963" s="21" t="inlineStr">
        <is>
          <t>24.08.2026</t>
        </is>
      </c>
      <c r="E963" s="20" t="inlineStr">
        <is>
          <t>IFC-ISSUED FOR CONSTRUCTION</t>
        </is>
      </c>
      <c r="F963" s="21" t="n">
        <v>8907</v>
      </c>
      <c r="G963" s="20" t="inlineStr">
        <is>
          <t>PIPE B36.10/36.19 A333 6-SMLS BE BE</t>
        </is>
      </c>
      <c r="H963" s="20" t="inlineStr">
        <is>
          <t>A333</t>
        </is>
      </c>
      <c r="I963" s="22" t="n">
        <v>14</v>
      </c>
      <c r="J963" s="21" t="inlineStr">
        <is>
          <t>STD</t>
        </is>
      </c>
      <c r="K963" s="20" t="inlineStr">
        <is>
          <t>I63649172</t>
        </is>
      </c>
      <c r="L963" s="22" t="n">
        <v>40.8</v>
      </c>
      <c r="M963" s="20">
        <f>IFERROR(LEFT(B963,SEARCH("_Rev",B963)-1),B963)</f>
        <v/>
      </c>
      <c r="N963" s="20">
        <f>IF(B963="","",IF(ISNUMBER(C963),IF(COUNTIFS($M$3:$M$1026,M963,$C$3:$C$1026,"&gt;"&amp;C963)=0,"CURRENT","SUPERSEDED"),"CURRENT"))</f>
        <v/>
      </c>
      <c r="O963" s="19" t="n"/>
    </row>
    <row r="964">
      <c r="A964" s="19" t="n"/>
      <c r="B964" s="20" t="inlineStr">
        <is>
          <t>4503-XH-DL-8909-8919-5087-DRW-01_Rev0</t>
        </is>
      </c>
      <c r="C964" s="21" t="n">
        <v>0</v>
      </c>
      <c r="D964" s="21" t="inlineStr">
        <is>
          <t>20.08.2026</t>
        </is>
      </c>
      <c r="E964" s="20" t="inlineStr">
        <is>
          <t>IFC - ISSUEDFOR CONSTRUCTION</t>
        </is>
      </c>
      <c r="F964" s="21" t="n">
        <v>8909</v>
      </c>
      <c r="G964" s="20" t="inlineStr">
        <is>
          <t>PIPE B36.10/36.19 A312 TP304/304L SMLS DUAL GRADE POTABLE WATER BE BE</t>
        </is>
      </c>
      <c r="H964" s="20" t="inlineStr">
        <is>
          <t>A312</t>
        </is>
      </c>
      <c r="I964" s="22" t="n">
        <v>2</v>
      </c>
      <c r="J964" s="21" t="inlineStr">
        <is>
          <t>10S</t>
        </is>
      </c>
      <c r="K964" s="20" t="inlineStr">
        <is>
          <t>I71891012</t>
        </is>
      </c>
      <c r="L964" s="22" t="n">
        <v>59</v>
      </c>
      <c r="M964" s="20">
        <f>IFERROR(LEFT(B964,SEARCH("_Rev",B964)-1),B964)</f>
        <v/>
      </c>
      <c r="N964" s="20">
        <f>IF(B964="","",IF(ISNUMBER(C964),IF(COUNTIFS($M$3:$M$1026,M964,$C$3:$C$1026,"&gt;"&amp;C964)=0,"CURRENT","SUPERSEDED"),"CURRENT"))</f>
        <v/>
      </c>
      <c r="O964" s="19" t="n"/>
    </row>
    <row r="965">
      <c r="A965" s="19" t="n"/>
      <c r="B965" s="20" t="inlineStr">
        <is>
          <t>4503-XH-DL-8909-8919-5087-DRW-02_Rev0</t>
        </is>
      </c>
      <c r="C965" s="21" t="n">
        <v>0</v>
      </c>
      <c r="D965" s="21" t="inlineStr">
        <is>
          <t>20.08.2026</t>
        </is>
      </c>
      <c r="E965" s="20" t="inlineStr">
        <is>
          <t>IFC - ISSUEDFOR CONSTRUCTION</t>
        </is>
      </c>
      <c r="F965" s="21" t="n">
        <v>8909</v>
      </c>
      <c r="G965" s="20" t="inlineStr">
        <is>
          <t>PIPE B36.10/36.19 A312 TP304/304L SMLS DUAL GRADE POTABLE WATER BE BE</t>
        </is>
      </c>
      <c r="H965" s="20" t="inlineStr">
        <is>
          <t>A312</t>
        </is>
      </c>
      <c r="I965" s="22" t="n">
        <v>2</v>
      </c>
      <c r="J965" s="21" t="inlineStr">
        <is>
          <t>10S</t>
        </is>
      </c>
      <c r="K965" s="20" t="inlineStr">
        <is>
          <t>I71891012</t>
        </is>
      </c>
      <c r="L965" s="22" t="n">
        <v>46.7</v>
      </c>
      <c r="M965" s="20">
        <f>IFERROR(LEFT(B965,SEARCH("_Rev",B965)-1),B965)</f>
        <v/>
      </c>
      <c r="N965" s="20">
        <f>IF(B965="","",IF(ISNUMBER(C965),IF(COUNTIFS($M$3:$M$1026,M965,$C$3:$C$1026,"&gt;"&amp;C965)=0,"CURRENT","SUPERSEDED"),"CURRENT"))</f>
        <v/>
      </c>
      <c r="O965" s="19" t="n"/>
    </row>
    <row r="966">
      <c r="A966" s="19" t="n"/>
      <c r="B966" s="20" t="inlineStr">
        <is>
          <t>4503-XH-DL-8909-8919-5087-DRW-02_Rev0</t>
        </is>
      </c>
      <c r="C966" s="21" t="n">
        <v>0</v>
      </c>
      <c r="D966" s="21" t="inlineStr">
        <is>
          <t>20.08.2026</t>
        </is>
      </c>
      <c r="E966" s="20" t="inlineStr">
        <is>
          <t>IFC - ISSUEDFOR CONSTRUCTION</t>
        </is>
      </c>
      <c r="F966" s="21" t="n">
        <v>8909</v>
      </c>
      <c r="G966" s="20" t="inlineStr">
        <is>
          <t>PIPE B36.10/36.19 A312 TP304/304L SMLS DUAL GRADE POTABLE WATER PE PE</t>
        </is>
      </c>
      <c r="H966" s="20" t="inlineStr">
        <is>
          <t>A312</t>
        </is>
      </c>
      <c r="I966" s="22" t="n">
        <v>1</v>
      </c>
      <c r="J966" s="21" t="inlineStr">
        <is>
          <t>40S</t>
        </is>
      </c>
      <c r="K966" s="20" t="inlineStr">
        <is>
          <t>I71860172</t>
        </is>
      </c>
      <c r="L966" s="22" t="n">
        <v>0.2</v>
      </c>
      <c r="M966" s="20">
        <f>IFERROR(LEFT(B966,SEARCH("_Rev",B966)-1),B966)</f>
        <v/>
      </c>
      <c r="N966" s="20">
        <f>IF(B966="","",IF(ISNUMBER(C966),IF(COUNTIFS($M$3:$M$1026,M966,$C$3:$C$1026,"&gt;"&amp;C966)=0,"CURRENT","SUPERSEDED"),"CURRENT"))</f>
        <v/>
      </c>
      <c r="O966" s="19" t="n"/>
    </row>
    <row r="967">
      <c r="A967" s="19" t="n"/>
      <c r="B967" s="20" t="inlineStr">
        <is>
          <t>4503-XH-DL-8909-8919-5087-DRW-03_Rev0</t>
        </is>
      </c>
      <c r="C967" s="21" t="n">
        <v>0</v>
      </c>
      <c r="D967" s="21" t="inlineStr">
        <is>
          <t>20.08.2026</t>
        </is>
      </c>
      <c r="E967" s="20" t="inlineStr">
        <is>
          <t>IFC - ISSUEDFOR CONSTRUCTION</t>
        </is>
      </c>
      <c r="F967" s="21" t="n">
        <v>8909</v>
      </c>
      <c r="G967" s="20" t="inlineStr">
        <is>
          <t>PIPE B36.10/36.19 A312 TP304/304L SMLS DUAL GRADE POTABLE WATER BE BE</t>
        </is>
      </c>
      <c r="H967" s="20" t="inlineStr">
        <is>
          <t>A312</t>
        </is>
      </c>
      <c r="I967" s="22" t="n">
        <v>2</v>
      </c>
      <c r="J967" s="21" t="inlineStr">
        <is>
          <t>10S</t>
        </is>
      </c>
      <c r="K967" s="20" t="inlineStr">
        <is>
          <t>I71891012</t>
        </is>
      </c>
      <c r="L967" s="22" t="n">
        <v>60</v>
      </c>
      <c r="M967" s="20">
        <f>IFERROR(LEFT(B967,SEARCH("_Rev",B967)-1),B967)</f>
        <v/>
      </c>
      <c r="N967" s="20">
        <f>IF(B967="","",IF(ISNUMBER(C967),IF(COUNTIFS($M$3:$M$1026,M967,$C$3:$C$1026,"&gt;"&amp;C967)=0,"CURRENT","SUPERSEDED"),"CURRENT"))</f>
        <v/>
      </c>
      <c r="O967" s="19" t="n"/>
    </row>
    <row r="968">
      <c r="A968" s="19" t="n"/>
      <c r="B968" s="20" t="inlineStr">
        <is>
          <t>4503-XH-DL-8909-8919-5087-DRW-05_Rev0</t>
        </is>
      </c>
      <c r="C968" s="21" t="n">
        <v>0</v>
      </c>
      <c r="D968" s="21" t="inlineStr">
        <is>
          <t>20.08.2026</t>
        </is>
      </c>
      <c r="E968" s="20" t="inlineStr">
        <is>
          <t>IFC - ISSUEDFOR CONSTRUCTION</t>
        </is>
      </c>
      <c r="F968" s="21" t="n">
        <v>8909</v>
      </c>
      <c r="G968" s="20" t="inlineStr">
        <is>
          <t>PIPE B36.10/36.19 A312 TP304/304L SMLS DUAL GRADE POTABLE WATER BE BE</t>
        </is>
      </c>
      <c r="H968" s="20" t="inlineStr">
        <is>
          <t>A312</t>
        </is>
      </c>
      <c r="I968" s="22" t="n">
        <v>2</v>
      </c>
      <c r="J968" s="21" t="inlineStr">
        <is>
          <t>10S</t>
        </is>
      </c>
      <c r="K968" s="20" t="inlineStr">
        <is>
          <t>I71891012</t>
        </is>
      </c>
      <c r="L968" s="22" t="n">
        <v>24.9</v>
      </c>
      <c r="M968" s="20">
        <f>IFERROR(LEFT(B968,SEARCH("_Rev",B968)-1),B968)</f>
        <v/>
      </c>
      <c r="N968" s="20">
        <f>IF(B968="","",IF(ISNUMBER(C968),IF(COUNTIFS($M$3:$M$1026,M968,$C$3:$C$1026,"&gt;"&amp;C968)=0,"CURRENT","SUPERSEDED"),"CURRENT"))</f>
        <v/>
      </c>
      <c r="O968" s="19" t="n"/>
    </row>
    <row r="969">
      <c r="A969" s="19" t="n"/>
      <c r="B969" s="20" t="inlineStr">
        <is>
          <t>4503-XH-DL-8909-8919-5087-DRW-06_Rev0</t>
        </is>
      </c>
      <c r="C969" s="21" t="n">
        <v>0</v>
      </c>
      <c r="D969" s="21" t="inlineStr">
        <is>
          <t>20.08.2026</t>
        </is>
      </c>
      <c r="E969" s="20" t="inlineStr">
        <is>
          <t>IFC - ISSUEDFOR CONSTRUCTION</t>
        </is>
      </c>
      <c r="F969" s="21" t="n">
        <v>8909</v>
      </c>
      <c r="G969" s="20" t="inlineStr">
        <is>
          <t>PIPE B36.10/36.19 A312 TP304/304L SMLS DUAL GRADE POTABLE WATER BE BE</t>
        </is>
      </c>
      <c r="H969" s="20" t="inlineStr">
        <is>
          <t>A312</t>
        </is>
      </c>
      <c r="I969" s="22" t="n">
        <v>2</v>
      </c>
      <c r="J969" s="21" t="inlineStr">
        <is>
          <t>10S</t>
        </is>
      </c>
      <c r="K969" s="20" t="inlineStr">
        <is>
          <t>I71891012</t>
        </is>
      </c>
      <c r="L969" s="22" t="n">
        <v>4.7</v>
      </c>
      <c r="M969" s="20">
        <f>IFERROR(LEFT(B969,SEARCH("_Rev",B969)-1),B969)</f>
        <v/>
      </c>
      <c r="N969" s="20">
        <f>IF(B969="","",IF(ISNUMBER(C969),IF(COUNTIFS($M$3:$M$1026,M969,$C$3:$C$1026,"&gt;"&amp;C969)=0,"CURRENT","SUPERSEDED"),"CURRENT"))</f>
        <v/>
      </c>
      <c r="O969" s="19" t="n"/>
    </row>
    <row r="970" ht="15.75" customHeight="1" thickBot="1">
      <c r="A970" s="19" t="n"/>
      <c r="B970" s="20" t="inlineStr">
        <is>
          <t>4503-XH-DL-200U-8920-5061-MFW-01_Rev0</t>
        </is>
      </c>
      <c r="C970" s="21" t="n">
        <v>0</v>
      </c>
      <c r="D970" s="21" t="inlineStr">
        <is>
          <t>18.09.2026</t>
        </is>
      </c>
      <c r="E970" s="20" t="inlineStr">
        <is>
          <t>IFC - ISSUED FOR CONSTRUCTION</t>
        </is>
      </c>
      <c r="F970" s="21" t="n">
        <v>8920</v>
      </c>
      <c r="G970" s="20" t="inlineStr">
        <is>
          <t>PIPE MFTR STD PE100 SDR-11 BUTT FUSION JOINT BUTT FUSION JOINT</t>
        </is>
      </c>
      <c r="H970" s="20" t="inlineStr">
        <is>
          <t>PE100</t>
        </is>
      </c>
      <c r="I970" s="22" t="n">
        <v>40</v>
      </c>
      <c r="J970" s="21" t="inlineStr">
        <is>
          <t>90.8</t>
        </is>
      </c>
      <c r="K970" s="20" t="inlineStr">
        <is>
          <t>I71746907</t>
        </is>
      </c>
      <c r="L970" s="22" t="n">
        <v>87.59999999999999</v>
      </c>
      <c r="M970" s="20">
        <f>IFERROR(LEFT(B970,SEARCH("_Rev",B970)-1),B970)</f>
        <v/>
      </c>
      <c r="N970" s="20">
        <f>IF(B970="","",IF(ISNUMBER(C970),IF(COUNTIFS($M$3:$M$1026,M970,$C$3:$C$1026,"&gt;"&amp;C970)=0,"CURRENT","SUPERSEDED"),"CURRENT"))</f>
        <v/>
      </c>
      <c r="O970" s="19" t="n"/>
    </row>
    <row r="971">
      <c r="A971" s="19" t="n"/>
      <c r="B971" s="20" t="inlineStr">
        <is>
          <t>4503-XH-DL-200U-8920-5063-MFW-03_Rev0</t>
        </is>
      </c>
      <c r="C971" s="21" t="n">
        <v>0</v>
      </c>
      <c r="D971" s="21" t="inlineStr">
        <is>
          <t>18.09.2026</t>
        </is>
      </c>
      <c r="E971" s="20" t="inlineStr">
        <is>
          <t>IFC - ISSUED FOR CONSTRUCTION</t>
        </is>
      </c>
      <c r="F971" s="21" t="n">
        <v>8920</v>
      </c>
      <c r="G971" s="20" t="inlineStr">
        <is>
          <t>PIPE MFTR STD PE100 SDR-11 BUTT FUSION JOINT BUTT FUSION JOINT</t>
        </is>
      </c>
      <c r="H971" s="20" t="inlineStr">
        <is>
          <t>PE100</t>
        </is>
      </c>
      <c r="I971" s="22" t="n">
        <v>40</v>
      </c>
      <c r="J971" s="21" t="inlineStr">
        <is>
          <t>90.8</t>
        </is>
      </c>
      <c r="K971" s="20" t="inlineStr">
        <is>
          <t>I71746907</t>
        </is>
      </c>
      <c r="L971" s="22" t="n">
        <v>12.6</v>
      </c>
      <c r="M971" s="20">
        <f>IFERROR(LEFT(B971,SEARCH("_Rev",B971)-1),B971)</f>
        <v/>
      </c>
      <c r="N971" s="20">
        <f>IF(B971="","",IF(ISNUMBER(C971),IF(COUNTIFS($M$3:$M$1026,M971,$C$3:$C$1026,"&gt;"&amp;C971)=0,"CURRENT","SUPERSEDED"),"CURRENT"))</f>
        <v/>
      </c>
      <c r="O971" s="19" t="n"/>
    </row>
    <row r="972">
      <c r="A972" s="19" t="n"/>
      <c r="B972" s="20" t="inlineStr">
        <is>
          <t>4503-XH-DL-200U-8920-5074-MFW-01_Rev0</t>
        </is>
      </c>
      <c r="C972" s="21" t="n">
        <v>0</v>
      </c>
      <c r="D972" s="21" t="inlineStr">
        <is>
          <t>18.09.2026</t>
        </is>
      </c>
      <c r="E972" s="20" t="inlineStr">
        <is>
          <t>IFC - ISSUED FOR CONSTRUCTION</t>
        </is>
      </c>
      <c r="F972" s="21" t="n">
        <v>8920</v>
      </c>
      <c r="G972" s="20" t="inlineStr">
        <is>
          <t>PIPE MFTR STD PE100 SDR-11 BUTT FUSION JOINT BUTT FUSION JOINT</t>
        </is>
      </c>
      <c r="H972" s="20" t="inlineStr">
        <is>
          <t>PE100</t>
        </is>
      </c>
      <c r="I972" s="22" t="n">
        <v>40</v>
      </c>
      <c r="J972" s="21" t="inlineStr">
        <is>
          <t>90.8</t>
        </is>
      </c>
      <c r="K972" s="20" t="inlineStr">
        <is>
          <t>I71746907</t>
        </is>
      </c>
      <c r="L972" s="22" t="n">
        <v>87.59999999999999</v>
      </c>
      <c r="M972" s="20">
        <f>IFERROR(LEFT(B972,SEARCH("_Rev",B972)-1),B972)</f>
        <v/>
      </c>
      <c r="N972" s="20">
        <f>IF(B972="","",IF(ISNUMBER(C972),IF(COUNTIFS($M$3:$M$1026,M972,$C$3:$C$1026,"&gt;"&amp;C972)=0,"CURRENT","SUPERSEDED"),"CURRENT"))</f>
        <v/>
      </c>
      <c r="O972" s="19" t="n"/>
    </row>
    <row r="973">
      <c r="A973" s="19" t="n"/>
      <c r="B973" s="20" t="inlineStr">
        <is>
          <t>4503-XH-DL-200U-8920-5079-MFW-01_Rev0</t>
        </is>
      </c>
      <c r="C973" s="21" t="n">
        <v>0</v>
      </c>
      <c r="D973" s="21" t="inlineStr">
        <is>
          <t>18.09.2026</t>
        </is>
      </c>
      <c r="E973" s="20" t="inlineStr">
        <is>
          <t>IFC - ISSUED FOR CONSTRUCTION</t>
        </is>
      </c>
      <c r="F973" s="21" t="n">
        <v>8920</v>
      </c>
      <c r="G973" s="20" t="inlineStr">
        <is>
          <t>PIPE MFTR STD PE100 SDR-11 BUTT FUSION JOINT BUTT FUSION JOINT</t>
        </is>
      </c>
      <c r="H973" s="20" t="inlineStr">
        <is>
          <t>PE100</t>
        </is>
      </c>
      <c r="I973" s="22" t="n">
        <v>40</v>
      </c>
      <c r="J973" s="21" t="inlineStr">
        <is>
          <t>90.8</t>
        </is>
      </c>
      <c r="K973" s="20" t="inlineStr">
        <is>
          <t>I71746907</t>
        </is>
      </c>
      <c r="L973" s="22" t="n">
        <v>72.59999999999999</v>
      </c>
      <c r="M973" s="20">
        <f>IFERROR(LEFT(B973,SEARCH("_Rev",B973)-1),B973)</f>
        <v/>
      </c>
      <c r="N973" s="20">
        <f>IF(B973="","",IF(ISNUMBER(C973),IF(COUNTIFS($M$3:$M$1026,M973,$C$3:$C$1026,"&gt;"&amp;C973)=0,"CURRENT","SUPERSEDED"),"CURRENT"))</f>
        <v/>
      </c>
      <c r="O973" s="19" t="n"/>
    </row>
    <row r="974">
      <c r="A974" s="19" t="n"/>
      <c r="B974" s="20" t="inlineStr">
        <is>
          <t>4503-XH-DL-200U-8920-5081-MFW-01_Rev0</t>
        </is>
      </c>
      <c r="C974" s="21" t="n">
        <v>0</v>
      </c>
      <c r="D974" s="21" t="inlineStr">
        <is>
          <t>18.09.2026</t>
        </is>
      </c>
      <c r="E974" s="20" t="inlineStr">
        <is>
          <t>IFC - ISSUED FOR CONSTRUCTION</t>
        </is>
      </c>
      <c r="F974" s="21" t="n">
        <v>8920</v>
      </c>
      <c r="G974" s="20" t="inlineStr">
        <is>
          <t>PIPE MFTR STD PE100 SDR-11 BUTT FUSION JOINT BUTT FUSION JOINT</t>
        </is>
      </c>
      <c r="H974" s="20" t="inlineStr">
        <is>
          <t>PE100</t>
        </is>
      </c>
      <c r="I974" s="22" t="n">
        <v>40</v>
      </c>
      <c r="J974" s="21" t="inlineStr">
        <is>
          <t>90.8</t>
        </is>
      </c>
      <c r="K974" s="20" t="inlineStr">
        <is>
          <t>I71746907</t>
        </is>
      </c>
      <c r="L974" s="22" t="n">
        <v>24.1</v>
      </c>
      <c r="M974" s="20">
        <f>IFERROR(LEFT(B974,SEARCH("_Rev",B974)-1),B974)</f>
        <v/>
      </c>
      <c r="N974" s="20">
        <f>IF(B974="","",IF(ISNUMBER(C974),IF(COUNTIFS($M$3:$M$1026,M974,$C$3:$C$1026,"&gt;"&amp;C974)=0,"CURRENT","SUPERSEDED"),"CURRENT"))</f>
        <v/>
      </c>
      <c r="O974" s="19" t="n"/>
    </row>
    <row r="975">
      <c r="A975" s="19" t="n"/>
      <c r="B975" s="20" t="inlineStr">
        <is>
          <t>4503-XH-DL-200U-8920-5081-MFW-03_Rev0</t>
        </is>
      </c>
      <c r="C975" s="21" t="n">
        <v>0</v>
      </c>
      <c r="D975" s="21" t="inlineStr">
        <is>
          <t>18.09.2026</t>
        </is>
      </c>
      <c r="E975" s="20" t="inlineStr">
        <is>
          <t>IFC - ISSUED FOR CONSTRUCTION</t>
        </is>
      </c>
      <c r="F975" s="21" t="n">
        <v>8920</v>
      </c>
      <c r="G975" s="20" t="inlineStr">
        <is>
          <t>PIPE MFTR STD PE100 SDR-11 BUTT FUSION JOINT BUTT FUSION JOINT</t>
        </is>
      </c>
      <c r="H975" s="20" t="inlineStr">
        <is>
          <t>PE100</t>
        </is>
      </c>
      <c r="I975" s="22" t="n">
        <v>40</v>
      </c>
      <c r="J975" s="21" t="inlineStr">
        <is>
          <t>90.8</t>
        </is>
      </c>
      <c r="K975" s="20" t="inlineStr">
        <is>
          <t>I71746907</t>
        </is>
      </c>
      <c r="L975" s="22" t="n">
        <v>58.3</v>
      </c>
      <c r="M975" s="20">
        <f>IFERROR(LEFT(B975,SEARCH("_Rev",B975)-1),B975)</f>
        <v/>
      </c>
      <c r="N975" s="20">
        <f>IF(B975="","",IF(ISNUMBER(C975),IF(COUNTIFS($M$3:$M$1026,M975,$C$3:$C$1026,"&gt;"&amp;C975)=0,"CURRENT","SUPERSEDED"),"CURRENT"))</f>
        <v/>
      </c>
      <c r="O975" s="19" t="n"/>
    </row>
    <row r="976">
      <c r="A976" s="19" t="n"/>
      <c r="B976" s="20" t="inlineStr">
        <is>
          <t>4503-XH-DL-200U-8920-5094-MFW-01_Rev0</t>
        </is>
      </c>
      <c r="C976" s="21" t="n">
        <v>0</v>
      </c>
      <c r="D976" s="21" t="inlineStr">
        <is>
          <t>18.09.2026</t>
        </is>
      </c>
      <c r="E976" s="20" t="inlineStr">
        <is>
          <t>IFC - ISSUED FOR CONSTRUCTION</t>
        </is>
      </c>
      <c r="F976" s="21" t="n">
        <v>8920</v>
      </c>
      <c r="G976" s="20" t="inlineStr">
        <is>
          <t>PIPE MFTR STD PE100 SDR-11 BUTT FUSION JOINT BUTT FUSION JOINT</t>
        </is>
      </c>
      <c r="H976" s="20" t="inlineStr">
        <is>
          <t>PE100</t>
        </is>
      </c>
      <c r="I976" s="22" t="n">
        <v>40</v>
      </c>
      <c r="J976" s="21" t="inlineStr">
        <is>
          <t>90.8</t>
        </is>
      </c>
      <c r="K976" s="20" t="inlineStr">
        <is>
          <t>I71746907</t>
        </is>
      </c>
      <c r="L976" s="22" t="n">
        <v>89.8</v>
      </c>
      <c r="M976" s="20">
        <f>IFERROR(LEFT(B976,SEARCH("_Rev",B976)-1),B976)</f>
        <v/>
      </c>
      <c r="N976" s="20">
        <f>IF(B976="","",IF(ISNUMBER(C976),IF(COUNTIFS($M$3:$M$1026,M976,$C$3:$C$1026,"&gt;"&amp;C976)=0,"CURRENT","SUPERSEDED"),"CURRENT"))</f>
        <v/>
      </c>
      <c r="O976" s="19" t="n"/>
    </row>
    <row r="977">
      <c r="A977" s="19" t="n"/>
      <c r="B977" s="20" t="inlineStr">
        <is>
          <t>4503-XH-DL-300U-8920-5292-MFW-03_Rev0</t>
        </is>
      </c>
      <c r="C977" s="21" t="n">
        <v>0</v>
      </c>
      <c r="D977" s="21" t="inlineStr">
        <is>
          <t>18.09.2026</t>
        </is>
      </c>
      <c r="E977" s="20" t="inlineStr">
        <is>
          <t>IFC - ISSUED FOR CONSTRUCTION</t>
        </is>
      </c>
      <c r="F977" s="21" t="n">
        <v>8920</v>
      </c>
      <c r="G977" s="20" t="inlineStr">
        <is>
          <t>PIPE MFTR STD PE100 SDR-11 BUTT FUSION JOINT BUTT FUSION JOINT</t>
        </is>
      </c>
      <c r="H977" s="20" t="inlineStr">
        <is>
          <t>PE100</t>
        </is>
      </c>
      <c r="I977" s="22" t="n">
        <v>24</v>
      </c>
      <c r="J977" s="21" t="inlineStr">
        <is>
          <t>57.2</t>
        </is>
      </c>
      <c r="K977" s="20" t="inlineStr">
        <is>
          <t>I69476434</t>
        </is>
      </c>
      <c r="L977" s="22" t="n">
        <v>11.2</v>
      </c>
      <c r="M977" s="20">
        <f>IFERROR(LEFT(B977,SEARCH("_Rev",B977)-1),B977)</f>
        <v/>
      </c>
      <c r="N977" s="20">
        <f>IF(B977="","",IF(ISNUMBER(C977),IF(COUNTIFS($M$3:$M$1026,M977,$C$3:$C$1026,"&gt;"&amp;C977)=0,"CURRENT","SUPERSEDED"),"CURRENT"))</f>
        <v/>
      </c>
      <c r="O977" s="19" t="n"/>
    </row>
    <row r="978">
      <c r="A978" s="19" t="n"/>
      <c r="B978" s="20" t="inlineStr">
        <is>
          <t>4503-XH-DL-300U-8920-5294-MFW-01_Rev0</t>
        </is>
      </c>
      <c r="C978" s="21" t="n">
        <v>0</v>
      </c>
      <c r="D978" s="21" t="inlineStr">
        <is>
          <t>18.09.2026</t>
        </is>
      </c>
      <c r="E978" s="20" t="inlineStr">
        <is>
          <t>IFC - ISSUED FOR CONSTRUCTION</t>
        </is>
      </c>
      <c r="F978" s="21" t="n">
        <v>8920</v>
      </c>
      <c r="G978" s="20" t="inlineStr">
        <is>
          <t>PIPE MFTR STD PE100 SDR-11 BUTT FUSION JOINT BUTT FUSION JOINT</t>
        </is>
      </c>
      <c r="H978" s="20" t="inlineStr">
        <is>
          <t>PE100</t>
        </is>
      </c>
      <c r="I978" s="22" t="n">
        <v>24</v>
      </c>
      <c r="J978" s="21" t="inlineStr">
        <is>
          <t>57.2</t>
        </is>
      </c>
      <c r="K978" s="20" t="inlineStr">
        <is>
          <t>I69476434</t>
        </is>
      </c>
      <c r="L978" s="22" t="n">
        <v>24.2</v>
      </c>
      <c r="M978" s="20">
        <f>IFERROR(LEFT(B978,SEARCH("_Rev",B978)-1),B978)</f>
        <v/>
      </c>
      <c r="N978" s="20">
        <f>IF(B978="","",IF(ISNUMBER(C978),IF(COUNTIFS($M$3:$M$1026,M978,$C$3:$C$1026,"&gt;"&amp;C978)=0,"CURRENT","SUPERSEDED"),"CURRENT"))</f>
        <v/>
      </c>
      <c r="O978" s="19" t="n"/>
    </row>
    <row r="979">
      <c r="A979" s="19" t="n"/>
      <c r="B979" s="20" t="inlineStr">
        <is>
          <t>4503-XH-DL-300U-8920-5296-MFW-01_Rev0</t>
        </is>
      </c>
      <c r="C979" s="21" t="n">
        <v>0</v>
      </c>
      <c r="D979" s="21" t="inlineStr">
        <is>
          <t>18.09.2026</t>
        </is>
      </c>
      <c r="E979" s="20" t="inlineStr">
        <is>
          <t>IFC - ISSUED FOR CONSTRUCTION</t>
        </is>
      </c>
      <c r="F979" s="21" t="n">
        <v>8920</v>
      </c>
      <c r="G979" s="20" t="inlineStr">
        <is>
          <t>PIPE MFTR STD PE100 SDR-11 BUTT FUSION JOINT BUTT FUSION JOINT</t>
        </is>
      </c>
      <c r="H979" s="20" t="inlineStr">
        <is>
          <t>PE100</t>
        </is>
      </c>
      <c r="I979" s="22" t="n">
        <v>24</v>
      </c>
      <c r="J979" s="21" t="inlineStr">
        <is>
          <t>57.2</t>
        </is>
      </c>
      <c r="K979" s="20" t="inlineStr">
        <is>
          <t>I69476434</t>
        </is>
      </c>
      <c r="L979" s="22" t="n">
        <v>46.8</v>
      </c>
      <c r="M979" s="20">
        <f>IFERROR(LEFT(B979,SEARCH("_Rev",B979)-1),B979)</f>
        <v/>
      </c>
      <c r="N979" s="20">
        <f>IF(B979="","",IF(ISNUMBER(C979),IF(COUNTIFS($M$3:$M$1026,M979,$C$3:$C$1026,"&gt;"&amp;C979)=0,"CURRENT","SUPERSEDED"),"CURRENT"))</f>
        <v/>
      </c>
      <c r="O979" s="19" t="n"/>
    </row>
    <row r="980">
      <c r="A980" s="19" t="n"/>
      <c r="B980" s="20" t="inlineStr">
        <is>
          <t>4503-XH-DL-300U-8920-5324-MFW-01_Rev0</t>
        </is>
      </c>
      <c r="C980" s="21" t="n">
        <v>0</v>
      </c>
      <c r="D980" s="21" t="inlineStr">
        <is>
          <t>18.09.2026</t>
        </is>
      </c>
      <c r="E980" s="20" t="inlineStr">
        <is>
          <t>IFC - ISSUED FOR CONSTRUCTION</t>
        </is>
      </c>
      <c r="F980" s="21" t="n">
        <v>8920</v>
      </c>
      <c r="G980" s="20" t="inlineStr">
        <is>
          <t>PIPE MFTR STD PE100 SDR-11 BUTT FUSION JOINT BUTT FUSION JOINT</t>
        </is>
      </c>
      <c r="H980" s="20" t="inlineStr">
        <is>
          <t>PE100</t>
        </is>
      </c>
      <c r="I980" s="22" t="n">
        <v>24</v>
      </c>
      <c r="J980" s="21" t="inlineStr">
        <is>
          <t>57.2</t>
        </is>
      </c>
      <c r="K980" s="20" t="inlineStr">
        <is>
          <t>I69476434</t>
        </is>
      </c>
      <c r="L980" s="22" t="n">
        <v>36.3</v>
      </c>
      <c r="M980" s="20">
        <f>IFERROR(LEFT(B980,SEARCH("_Rev",B980)-1),B980)</f>
        <v/>
      </c>
      <c r="N980" s="20">
        <f>IF(B980="","",IF(ISNUMBER(C980),IF(COUNTIFS($M$3:$M$1026,M980,$C$3:$C$1026,"&gt;"&amp;C980)=0,"CURRENT","SUPERSEDED"),"CURRENT"))</f>
        <v/>
      </c>
      <c r="O980" s="19" t="n"/>
    </row>
    <row r="981">
      <c r="A981" s="19" t="n"/>
      <c r="B981" s="20" t="inlineStr">
        <is>
          <t>4503-XH-DL-300U-8920-5325-MFW-01_Rev0</t>
        </is>
      </c>
      <c r="C981" s="21" t="n">
        <v>0</v>
      </c>
      <c r="D981" s="21" t="inlineStr">
        <is>
          <t>18.09.2026</t>
        </is>
      </c>
      <c r="E981" s="20" t="inlineStr">
        <is>
          <t>IFC - ISSUED FOR CONSTRUCTION</t>
        </is>
      </c>
      <c r="F981" s="21" t="n">
        <v>8920</v>
      </c>
      <c r="G981" s="20" t="inlineStr">
        <is>
          <t>PIPE MFTR STD PE100 SDR-11 BUTT FUSION JOINT BUTT FUSION JOINT</t>
        </is>
      </c>
      <c r="H981" s="20" t="inlineStr">
        <is>
          <t>PE100</t>
        </is>
      </c>
      <c r="I981" s="22" t="n">
        <v>24</v>
      </c>
      <c r="J981" s="21" t="inlineStr">
        <is>
          <t>57.2</t>
        </is>
      </c>
      <c r="K981" s="20" t="inlineStr">
        <is>
          <t>I69476434</t>
        </is>
      </c>
      <c r="L981" s="22" t="n">
        <v>12.7</v>
      </c>
      <c r="M981" s="20">
        <f>IFERROR(LEFT(B981,SEARCH("_Rev",B981)-1),B981)</f>
        <v/>
      </c>
      <c r="N981" s="20">
        <f>IF(B981="","",IF(ISNUMBER(C981),IF(COUNTIFS($M$3:$M$1026,M981,$C$3:$C$1026,"&gt;"&amp;C981)=0,"CURRENT","SUPERSEDED"),"CURRENT"))</f>
        <v/>
      </c>
      <c r="O981" s="19" t="n"/>
    </row>
    <row r="982">
      <c r="A982" s="19" t="n"/>
      <c r="B982" s="20" t="inlineStr">
        <is>
          <t>4503-XH-DL-300U-8920-5325-MFW-03_Rev0</t>
        </is>
      </c>
      <c r="C982" s="21" t="n">
        <v>0</v>
      </c>
      <c r="D982" s="21" t="inlineStr">
        <is>
          <t>18.09.2026</t>
        </is>
      </c>
      <c r="E982" s="20" t="inlineStr">
        <is>
          <t>IFC - ISSUED FOR CONSTRUCTION</t>
        </is>
      </c>
      <c r="F982" s="21" t="n">
        <v>8920</v>
      </c>
      <c r="G982" s="20" t="inlineStr">
        <is>
          <t>PIPE MFTR STD PE100 SDR-11 BUTT FUSION JOINT BUTT FUSION JOINT</t>
        </is>
      </c>
      <c r="H982" s="20" t="inlineStr">
        <is>
          <t>PE100</t>
        </is>
      </c>
      <c r="I982" s="22" t="n">
        <v>24</v>
      </c>
      <c r="J982" s="21" t="inlineStr">
        <is>
          <t>57.2</t>
        </is>
      </c>
      <c r="K982" s="20" t="inlineStr">
        <is>
          <t>I69476434</t>
        </is>
      </c>
      <c r="L982" s="22" t="n">
        <v>40.1</v>
      </c>
      <c r="M982" s="20">
        <f>IFERROR(LEFT(B982,SEARCH("_Rev",B982)-1),B982)</f>
        <v/>
      </c>
      <c r="N982" s="20">
        <f>IF(B982="","",IF(ISNUMBER(C982),IF(COUNTIFS($M$3:$M$1026,M982,$C$3:$C$1026,"&gt;"&amp;C982)=0,"CURRENT","SUPERSEDED"),"CURRENT"))</f>
        <v/>
      </c>
      <c r="O982" s="19" t="n"/>
    </row>
    <row r="983">
      <c r="A983" s="19" t="n"/>
      <c r="B983" s="20" t="inlineStr">
        <is>
          <t>4503-XH-DL-300U-8920-5359-MFW-01_Rev0</t>
        </is>
      </c>
      <c r="C983" s="21" t="n">
        <v>0</v>
      </c>
      <c r="D983" s="21" t="inlineStr">
        <is>
          <t>18.09.2026</t>
        </is>
      </c>
      <c r="E983" s="20" t="inlineStr">
        <is>
          <t>IFC - ISSUED FOR CONSTRUCTION</t>
        </is>
      </c>
      <c r="F983" s="21" t="n">
        <v>8920</v>
      </c>
      <c r="G983" s="20" t="inlineStr">
        <is>
          <t>PIPE MFTR STD PE100 SDR-11 BUTT FUSION JOINT BUTT FUSION JOINT</t>
        </is>
      </c>
      <c r="H983" s="20" t="inlineStr">
        <is>
          <t>PE100</t>
        </is>
      </c>
      <c r="I983" s="22" t="n">
        <v>24</v>
      </c>
      <c r="J983" s="21" t="inlineStr">
        <is>
          <t>57.2</t>
        </is>
      </c>
      <c r="K983" s="20" t="inlineStr">
        <is>
          <t>I69476434</t>
        </is>
      </c>
      <c r="L983" s="22" t="n">
        <v>55</v>
      </c>
      <c r="M983" s="20">
        <f>IFERROR(LEFT(B983,SEARCH("_Rev",B983)-1),B983)</f>
        <v/>
      </c>
      <c r="N983" s="20">
        <f>IF(B983="","",IF(ISNUMBER(C983),IF(COUNTIFS($M$3:$M$1026,M983,$C$3:$C$1026,"&gt;"&amp;C983)=0,"CURRENT","SUPERSEDED"),"CURRENT"))</f>
        <v/>
      </c>
      <c r="O983" s="19" t="n"/>
    </row>
    <row r="984">
      <c r="A984" s="19" t="n"/>
      <c r="B984" s="20" t="inlineStr">
        <is>
          <t>4503-XH-DL-300U-8920-5549-MFW-02_Rev0</t>
        </is>
      </c>
      <c r="C984" s="21" t="n">
        <v>0</v>
      </c>
      <c r="D984" s="21" t="inlineStr">
        <is>
          <t>18.09.2026</t>
        </is>
      </c>
      <c r="E984" s="20" t="inlineStr">
        <is>
          <t>IFC - ISSUED FOR CONSTRUCTION</t>
        </is>
      </c>
      <c r="F984" s="21" t="n">
        <v>8920</v>
      </c>
      <c r="G984" s="20" t="inlineStr">
        <is>
          <t>PIPE MFTR STD PE100 SDR-11 BUTT FUSION JOINT BUTT FUSION JOINT</t>
        </is>
      </c>
      <c r="H984" s="20" t="inlineStr">
        <is>
          <t>PE100</t>
        </is>
      </c>
      <c r="I984" s="22" t="n">
        <v>24</v>
      </c>
      <c r="J984" s="21" t="inlineStr">
        <is>
          <t>57.2</t>
        </is>
      </c>
      <c r="K984" s="20" t="inlineStr">
        <is>
          <t>I69476434</t>
        </is>
      </c>
      <c r="L984" s="22" t="n">
        <v>14.3</v>
      </c>
      <c r="M984" s="20">
        <f>IFERROR(LEFT(B984,SEARCH("_Rev",B984)-1),B984)</f>
        <v/>
      </c>
      <c r="N984" s="20">
        <f>IF(B984="","",IF(ISNUMBER(C984),IF(COUNTIFS($M$3:$M$1026,M984,$C$3:$C$1026,"&gt;"&amp;C984)=0,"CURRENT","SUPERSEDED"),"CURRENT"))</f>
        <v/>
      </c>
      <c r="O984" s="19" t="n"/>
    </row>
    <row r="985">
      <c r="A985" s="19" t="n"/>
      <c r="B985" s="20" t="inlineStr">
        <is>
          <t>4503-XH-DL-300U-8920-5556-MFW-01_Rev0</t>
        </is>
      </c>
      <c r="C985" s="21" t="n">
        <v>0</v>
      </c>
      <c r="D985" s="21" t="inlineStr">
        <is>
          <t>18.09.2026</t>
        </is>
      </c>
      <c r="E985" s="20" t="inlineStr">
        <is>
          <t>IFC - ISSUED FOR CONSTRUCTION</t>
        </is>
      </c>
      <c r="F985" s="21" t="n">
        <v>8920</v>
      </c>
      <c r="G985" s="20" t="inlineStr">
        <is>
          <t>PIPE MFTR STD PE100 SDR-11 BUTT FUSION JOINT BUTT FUSION JOINT</t>
        </is>
      </c>
      <c r="H985" s="20" t="inlineStr">
        <is>
          <t>PE100</t>
        </is>
      </c>
      <c r="I985" s="22" t="n">
        <v>24</v>
      </c>
      <c r="J985" s="21" t="inlineStr">
        <is>
          <t>57.2</t>
        </is>
      </c>
      <c r="K985" s="20" t="inlineStr">
        <is>
          <t>I69476434</t>
        </is>
      </c>
      <c r="L985" s="22" t="n">
        <v>12.5</v>
      </c>
      <c r="M985" s="20">
        <f>IFERROR(LEFT(B985,SEARCH("_Rev",B985)-1),B985)</f>
        <v/>
      </c>
      <c r="N985" s="20">
        <f>IF(B985="","",IF(ISNUMBER(C985),IF(COUNTIFS($M$3:$M$1026,M985,$C$3:$C$1026,"&gt;"&amp;C985)=0,"CURRENT","SUPERSEDED"),"CURRENT"))</f>
        <v/>
      </c>
      <c r="O985" s="19" t="n"/>
    </row>
    <row r="986">
      <c r="A986" s="19" t="n"/>
      <c r="B986" s="20" t="inlineStr">
        <is>
          <t>4503-XH-DL-301U-8920-5002-MFW-01_Rev0</t>
        </is>
      </c>
      <c r="C986" s="21" t="n">
        <v>0</v>
      </c>
      <c r="D986" s="21" t="inlineStr">
        <is>
          <t>18.09.2026</t>
        </is>
      </c>
      <c r="E986" s="20" t="inlineStr">
        <is>
          <t>IFC - ISSUED FOR CONSTRUCTION</t>
        </is>
      </c>
      <c r="F986" s="21" t="n">
        <v>8920</v>
      </c>
      <c r="G986" s="20" t="inlineStr">
        <is>
          <t>PIPE MFTR STD PE100 SDR-11 BUTT FUSION JOINT BUTT FUSION JOINT</t>
        </is>
      </c>
      <c r="H986" s="20" t="inlineStr">
        <is>
          <t>PE100</t>
        </is>
      </c>
      <c r="I986" s="22" t="n">
        <v>24</v>
      </c>
      <c r="J986" s="21" t="inlineStr">
        <is>
          <t>57.2</t>
        </is>
      </c>
      <c r="K986" s="20" t="inlineStr">
        <is>
          <t>I69476434</t>
        </is>
      </c>
      <c r="L986" s="22" t="n">
        <v>37.7</v>
      </c>
      <c r="M986" s="20">
        <f>IFERROR(LEFT(B986,SEARCH("_Rev",B986)-1),B986)</f>
        <v/>
      </c>
      <c r="N986" s="20">
        <f>IF(B986="","",IF(ISNUMBER(C986),IF(COUNTIFS($M$3:$M$1026,M986,$C$3:$C$1026,"&gt;"&amp;C986)=0,"CURRENT","SUPERSEDED"),"CURRENT"))</f>
        <v/>
      </c>
      <c r="O986" s="19" t="n"/>
    </row>
    <row r="987">
      <c r="A987" s="19" t="n"/>
      <c r="B987" s="20" t="inlineStr">
        <is>
          <t>4503-XH-DL-301U-8920-5106-MFW-01_Rev0</t>
        </is>
      </c>
      <c r="C987" s="21" t="n">
        <v>0</v>
      </c>
      <c r="D987" s="21" t="inlineStr">
        <is>
          <t>18.09.2026</t>
        </is>
      </c>
      <c r="E987" s="20" t="inlineStr">
        <is>
          <t>IFC - ISSUED FOR CONSTRUCTION</t>
        </is>
      </c>
      <c r="F987" s="21" t="n">
        <v>8920</v>
      </c>
      <c r="G987" s="20" t="inlineStr">
        <is>
          <t>PIPE MFTR STD PE100 SDR-11 BUTT FUSION JOINT BUTT FUSION JOINT</t>
        </is>
      </c>
      <c r="H987" s="20" t="inlineStr">
        <is>
          <t>PE100</t>
        </is>
      </c>
      <c r="I987" s="22" t="n">
        <v>24</v>
      </c>
      <c r="J987" s="21" t="inlineStr">
        <is>
          <t>57.2</t>
        </is>
      </c>
      <c r="K987" s="20" t="inlineStr">
        <is>
          <t>I69476434</t>
        </is>
      </c>
      <c r="L987" s="22" t="n">
        <v>6.6</v>
      </c>
      <c r="M987" s="20">
        <f>IFERROR(LEFT(B987,SEARCH("_Rev",B987)-1),B987)</f>
        <v/>
      </c>
      <c r="N987" s="20">
        <f>IF(B987="","",IF(ISNUMBER(C987),IF(COUNTIFS($M$3:$M$1026,M987,$C$3:$C$1026,"&gt;"&amp;C987)=0,"CURRENT","SUPERSEDED"),"CURRENT"))</f>
        <v/>
      </c>
      <c r="O987" s="19" t="n"/>
    </row>
    <row r="988">
      <c r="A988" s="19" t="n"/>
      <c r="B988" s="20" t="inlineStr">
        <is>
          <t>4503-XH-DL-500U-8920-5146-MFW-01_Rev0</t>
        </is>
      </c>
      <c r="C988" s="21" t="n">
        <v>0</v>
      </c>
      <c r="D988" s="21" t="inlineStr">
        <is>
          <t>18.09.2026</t>
        </is>
      </c>
      <c r="E988" s="20" t="inlineStr">
        <is>
          <t>IFC - ISSUED FOR CONSTRUCTION</t>
        </is>
      </c>
      <c r="F988" s="21" t="n">
        <v>8920</v>
      </c>
      <c r="G988" s="20" t="inlineStr">
        <is>
          <t>PIPE MFTR STD PE100 SDR-11 BUTT FUSION JOINT BUTT FUSION JOINT</t>
        </is>
      </c>
      <c r="H988" s="20" t="inlineStr">
        <is>
          <t>PE100</t>
        </is>
      </c>
      <c r="I988" s="22" t="n">
        <v>24</v>
      </c>
      <c r="J988" s="21" t="inlineStr">
        <is>
          <t>57.2</t>
        </is>
      </c>
      <c r="K988" s="20" t="inlineStr">
        <is>
          <t>I69476434</t>
        </is>
      </c>
      <c r="L988" s="22" t="n">
        <v>61.8</v>
      </c>
      <c r="M988" s="20">
        <f>IFERROR(LEFT(B988,SEARCH("_Rev",B988)-1),B988)</f>
        <v/>
      </c>
      <c r="N988" s="20">
        <f>IF(B988="","",IF(ISNUMBER(C988),IF(COUNTIFS($M$3:$M$1026,M988,$C$3:$C$1026,"&gt;"&amp;C988)=0,"CURRENT","SUPERSEDED"),"CURRENT"))</f>
        <v/>
      </c>
      <c r="O988" s="19" t="n"/>
    </row>
    <row r="989">
      <c r="A989" s="19" t="n"/>
      <c r="B989" s="20" t="inlineStr">
        <is>
          <t>4503-XH-DL-500U-8920-5182-MFW-01_Rev0</t>
        </is>
      </c>
      <c r="C989" s="21" t="n">
        <v>0</v>
      </c>
      <c r="D989" s="21" t="inlineStr">
        <is>
          <t>18.09.2026</t>
        </is>
      </c>
      <c r="E989" s="20" t="inlineStr">
        <is>
          <t>IFC - ISSUED FOR CONSTRUCTION</t>
        </is>
      </c>
      <c r="F989" s="21" t="n">
        <v>8920</v>
      </c>
      <c r="G989" s="20" t="inlineStr">
        <is>
          <t>PIPE MFTR STD PE100 SDR-11 BUTT FUSION JOINT BUTT FUSION JOINT</t>
        </is>
      </c>
      <c r="H989" s="20" t="inlineStr">
        <is>
          <t>PE100</t>
        </is>
      </c>
      <c r="I989" s="22" t="n">
        <v>24</v>
      </c>
      <c r="J989" s="21" t="inlineStr">
        <is>
          <t>57.2</t>
        </is>
      </c>
      <c r="K989" s="20" t="inlineStr">
        <is>
          <t>I69476434</t>
        </is>
      </c>
      <c r="L989" s="22" t="n">
        <v>50.5</v>
      </c>
      <c r="M989" s="20">
        <f>IFERROR(LEFT(B989,SEARCH("_Rev",B989)-1),B989)</f>
        <v/>
      </c>
      <c r="N989" s="20">
        <f>IF(B989="","",IF(ISNUMBER(C989),IF(COUNTIFS($M$3:$M$1026,M989,$C$3:$C$1026,"&gt;"&amp;C989)=0,"CURRENT","SUPERSEDED"),"CURRENT"))</f>
        <v/>
      </c>
      <c r="O989" s="19" t="n"/>
    </row>
    <row r="990">
      <c r="A990" s="19" t="n"/>
      <c r="B990" s="20" t="inlineStr">
        <is>
          <t>4503-XH-DL-500U-8920-5188-MFW-01_Rev0</t>
        </is>
      </c>
      <c r="C990" s="21" t="n">
        <v>0</v>
      </c>
      <c r="D990" s="21" t="inlineStr">
        <is>
          <t>18.09.2026</t>
        </is>
      </c>
      <c r="E990" s="20" t="inlineStr">
        <is>
          <t>IFC - ISSUED FOR CONSTRUCTION</t>
        </is>
      </c>
      <c r="F990" s="21" t="n">
        <v>8920</v>
      </c>
      <c r="G990" s="20" t="inlineStr">
        <is>
          <t>PIPE MFTR STD PE100 SDR-11 BUTT FUSION JOINT BUTT FUSION JOINT</t>
        </is>
      </c>
      <c r="H990" s="20" t="inlineStr">
        <is>
          <t>PE100</t>
        </is>
      </c>
      <c r="I990" s="22" t="n">
        <v>6</v>
      </c>
      <c r="J990" s="21" t="inlineStr">
        <is>
          <t>14.6</t>
        </is>
      </c>
      <c r="K990" s="20" t="inlineStr">
        <is>
          <t>I70662967</t>
        </is>
      </c>
      <c r="L990" s="22" t="n">
        <v>11.5</v>
      </c>
      <c r="M990" s="20">
        <f>IFERROR(LEFT(B990,SEARCH("_Rev",B990)-1),B990)</f>
        <v/>
      </c>
      <c r="N990" s="20">
        <f>IF(B990="","",IF(ISNUMBER(C990),IF(COUNTIFS($M$3:$M$1026,M990,$C$3:$C$1026,"&gt;"&amp;C990)=0,"CURRENT","SUPERSEDED"),"CURRENT"))</f>
        <v/>
      </c>
      <c r="O990" s="19" t="n"/>
    </row>
    <row r="991">
      <c r="A991" s="19" t="n"/>
      <c r="B991" s="20" t="inlineStr">
        <is>
          <t>4503-XH-DL-500U-8920-5347-MFW-01_Rev0</t>
        </is>
      </c>
      <c r="C991" s="21" t="n">
        <v>0</v>
      </c>
      <c r="D991" s="21" t="inlineStr">
        <is>
          <t>18.09.2026</t>
        </is>
      </c>
      <c r="E991" s="20" t="inlineStr">
        <is>
          <t>IFC - ISSUED FOR CONSTRUCTION</t>
        </is>
      </c>
      <c r="F991" s="21" t="n">
        <v>8920</v>
      </c>
      <c r="G991" s="20" t="inlineStr">
        <is>
          <t>PIPE MFTR STD PE100 SDR-11 BUTT FUSION JOINT BUTT FUSION JOINT</t>
        </is>
      </c>
      <c r="H991" s="20" t="inlineStr">
        <is>
          <t>PE100</t>
        </is>
      </c>
      <c r="I991" s="22" t="n">
        <v>6</v>
      </c>
      <c r="J991" s="21" t="inlineStr">
        <is>
          <t>14.6</t>
        </is>
      </c>
      <c r="K991" s="20" t="inlineStr">
        <is>
          <t>I70662967</t>
        </is>
      </c>
      <c r="L991" s="22" t="n">
        <v>11.5</v>
      </c>
      <c r="M991" s="20">
        <f>IFERROR(LEFT(B991,SEARCH("_Rev",B991)-1),B991)</f>
        <v/>
      </c>
      <c r="N991" s="20">
        <f>IF(B991="","",IF(ISNUMBER(C991),IF(COUNTIFS($M$3:$M$1026,M991,$C$3:$C$1026,"&gt;"&amp;C991)=0,"CURRENT","SUPERSEDED"),"CURRENT"))</f>
        <v/>
      </c>
      <c r="O991" s="19" t="n"/>
    </row>
    <row r="992">
      <c r="A992" s="19" t="n"/>
      <c r="B992" s="20" t="inlineStr">
        <is>
          <t>4503-XH-DL-500U-8920-5428-MFW-01_Rev0</t>
        </is>
      </c>
      <c r="C992" s="21" t="n">
        <v>0</v>
      </c>
      <c r="D992" s="21" t="inlineStr">
        <is>
          <t>18.09.2026</t>
        </is>
      </c>
      <c r="E992" s="20" t="inlineStr">
        <is>
          <t>IFC - ISSUED FOR CONSTRUCTION</t>
        </is>
      </c>
      <c r="F992" s="21" t="n">
        <v>8920</v>
      </c>
      <c r="G992" s="20" t="inlineStr">
        <is>
          <t>PIPE MFTR STD PE100 SDR-11 BUTT FUSION JOINT BUTT FUSION JOINT</t>
        </is>
      </c>
      <c r="H992" s="20" t="inlineStr">
        <is>
          <t>PE100</t>
        </is>
      </c>
      <c r="I992" s="22" t="n">
        <v>6</v>
      </c>
      <c r="J992" s="21" t="inlineStr">
        <is>
          <t>14.6</t>
        </is>
      </c>
      <c r="K992" s="20" t="inlineStr">
        <is>
          <t>I70662967</t>
        </is>
      </c>
      <c r="L992" s="22" t="n">
        <v>12.9</v>
      </c>
      <c r="M992" s="20">
        <f>IFERROR(LEFT(B992,SEARCH("_Rev",B992)-1),B992)</f>
        <v/>
      </c>
      <c r="N992" s="20">
        <f>IF(B992="","",IF(ISNUMBER(C992),IF(COUNTIFS($M$3:$M$1026,M992,$C$3:$C$1026,"&gt;"&amp;C992)=0,"CURRENT","SUPERSEDED"),"CURRENT"))</f>
        <v/>
      </c>
      <c r="O992" s="19" t="n"/>
    </row>
    <row r="993">
      <c r="A993" s="19" t="n"/>
      <c r="B993" s="20" t="inlineStr">
        <is>
          <t>4503-XH-DL-500U-8920-5459-MFW-01_Rev0</t>
        </is>
      </c>
      <c r="C993" s="21" t="n">
        <v>0</v>
      </c>
      <c r="D993" s="21" t="inlineStr">
        <is>
          <t>18.09.2026</t>
        </is>
      </c>
      <c r="E993" s="20" t="inlineStr">
        <is>
          <t>IFC - ISSUED FOR CONSTRUCTION</t>
        </is>
      </c>
      <c r="F993" s="21" t="n">
        <v>8920</v>
      </c>
      <c r="G993" s="20" t="inlineStr">
        <is>
          <t>PIPE MFTR STD PE100 SDR-11 BUTT FUSION JOINT BUTT FUSION JOINT</t>
        </is>
      </c>
      <c r="H993" s="20" t="inlineStr">
        <is>
          <t>PE100</t>
        </is>
      </c>
      <c r="I993" s="22" t="n">
        <v>6</v>
      </c>
      <c r="J993" s="21" t="inlineStr">
        <is>
          <t>14.6</t>
        </is>
      </c>
      <c r="K993" s="20" t="inlineStr">
        <is>
          <t>I70662967</t>
        </is>
      </c>
      <c r="L993" s="22" t="n">
        <v>37.4</v>
      </c>
      <c r="M993" s="20">
        <f>IFERROR(LEFT(B993,SEARCH("_Rev",B993)-1),B993)</f>
        <v/>
      </c>
      <c r="N993" s="20">
        <f>IF(B993="","",IF(ISNUMBER(C993),IF(COUNTIFS($M$3:$M$1026,M993,$C$3:$C$1026,"&gt;"&amp;C993)=0,"CURRENT","SUPERSEDED"),"CURRENT"))</f>
        <v/>
      </c>
      <c r="O993" s="19" t="n"/>
    </row>
    <row r="994">
      <c r="A994" s="19" t="n"/>
      <c r="B994" s="20" t="inlineStr">
        <is>
          <t>4503-XH-DL-600U-8920-5113-MFW-01_Rev0</t>
        </is>
      </c>
      <c r="C994" s="21" t="n">
        <v>0</v>
      </c>
      <c r="D994" s="21" t="inlineStr">
        <is>
          <t>18.09.2026</t>
        </is>
      </c>
      <c r="E994" s="20" t="inlineStr">
        <is>
          <t>IFC - ISSUED FOR CONSTRUCTION</t>
        </is>
      </c>
      <c r="F994" s="21" t="n">
        <v>8920</v>
      </c>
      <c r="G994" s="20" t="inlineStr">
        <is>
          <t>PIPE MFTR STD PE100 SDR-11 BUTT FUSION JOINT BUTT FUSION JOINT</t>
        </is>
      </c>
      <c r="H994" s="20" t="inlineStr">
        <is>
          <t>PE100</t>
        </is>
      </c>
      <c r="I994" s="22" t="n">
        <v>40</v>
      </c>
      <c r="J994" s="21" t="inlineStr">
        <is>
          <t>90.8</t>
        </is>
      </c>
      <c r="K994" s="20" t="inlineStr">
        <is>
          <t>I71746907</t>
        </is>
      </c>
      <c r="L994" s="22" t="n">
        <v>26</v>
      </c>
      <c r="M994" s="20">
        <f>IFERROR(LEFT(B994,SEARCH("_Rev",B994)-1),B994)</f>
        <v/>
      </c>
      <c r="N994" s="20">
        <f>IF(B994="","",IF(ISNUMBER(C994),IF(COUNTIFS($M$3:$M$1026,M994,$C$3:$C$1026,"&gt;"&amp;C994)=0,"CURRENT","SUPERSEDED"),"CURRENT"))</f>
        <v/>
      </c>
      <c r="O994" s="19" t="n"/>
    </row>
    <row r="995">
      <c r="A995" s="19" t="n"/>
      <c r="B995" s="20" t="inlineStr">
        <is>
          <t>4503-XH-DL-600U-8920-5146-MFW-01_Rev0</t>
        </is>
      </c>
      <c r="C995" s="21" t="n">
        <v>0</v>
      </c>
      <c r="D995" s="21" t="inlineStr">
        <is>
          <t>18.09.2026</t>
        </is>
      </c>
      <c r="E995" s="20" t="inlineStr">
        <is>
          <t>IFC - ISSUED FOR CONSTRUCTION</t>
        </is>
      </c>
      <c r="F995" s="21" t="n">
        <v>8920</v>
      </c>
      <c r="G995" s="20" t="inlineStr">
        <is>
          <t>PIPE MFTR STD PE100 SDR-11 BUTT FUSION JOINT BUTT FUSION JOINT</t>
        </is>
      </c>
      <c r="H995" s="20" t="inlineStr">
        <is>
          <t>PE100</t>
        </is>
      </c>
      <c r="I995" s="22" t="n">
        <v>24</v>
      </c>
      <c r="J995" s="21" t="inlineStr">
        <is>
          <t>57.2</t>
        </is>
      </c>
      <c r="K995" s="20" t="inlineStr">
        <is>
          <t>I69476434</t>
        </is>
      </c>
      <c r="L995" s="22" t="n">
        <v>29.2</v>
      </c>
      <c r="M995" s="20">
        <f>IFERROR(LEFT(B995,SEARCH("_Rev",B995)-1),B995)</f>
        <v/>
      </c>
      <c r="N995" s="20">
        <f>IF(B995="","",IF(ISNUMBER(C995),IF(COUNTIFS($M$3:$M$1026,M995,$C$3:$C$1026,"&gt;"&amp;C995)=0,"CURRENT","SUPERSEDED"),"CURRENT"))</f>
        <v/>
      </c>
      <c r="O995" s="19" t="n"/>
    </row>
    <row r="996">
      <c r="A996" s="19" t="n"/>
      <c r="B996" s="20" t="inlineStr">
        <is>
          <t>4503-XH-DL-600U-8920-5150-MFW-03_Rev0</t>
        </is>
      </c>
      <c r="C996" s="21" t="n">
        <v>0</v>
      </c>
      <c r="D996" s="21" t="inlineStr">
        <is>
          <t>16.09.2026</t>
        </is>
      </c>
      <c r="E996" s="20" t="inlineStr">
        <is>
          <t>IFC - ISSUED FOR CONSTRUCTION</t>
        </is>
      </c>
      <c r="F996" s="21" t="n">
        <v>8920</v>
      </c>
      <c r="G996" s="20" t="inlineStr">
        <is>
          <t>PIPE MFTR STD PE100 SDR-11 BUTT FUSION JOINT BUTT FUSION JOINT</t>
        </is>
      </c>
      <c r="H996" s="20" t="inlineStr">
        <is>
          <t>PE100</t>
        </is>
      </c>
      <c r="I996" s="22" t="n">
        <v>40</v>
      </c>
      <c r="J996" s="21" t="inlineStr">
        <is>
          <t>90.8</t>
        </is>
      </c>
      <c r="K996" s="20" t="inlineStr">
        <is>
          <t>I71746907</t>
        </is>
      </c>
      <c r="L996" s="22" t="n">
        <v>11.9</v>
      </c>
      <c r="M996" s="20">
        <f>IFERROR(LEFT(B996,SEARCH("_Rev",B996)-1),B996)</f>
        <v/>
      </c>
      <c r="N996" s="20">
        <f>IF(B996="","",IF(ISNUMBER(C996),IF(COUNTIFS($M$3:$M$1026,M996,$C$3:$C$1026,"&gt;"&amp;C996)=0,"CURRENT","SUPERSEDED"),"CURRENT"))</f>
        <v/>
      </c>
      <c r="O996" s="19" t="n"/>
    </row>
    <row r="997">
      <c r="A997" s="19" t="n"/>
      <c r="B997" s="20" t="inlineStr">
        <is>
          <t>4503-XH-DL-600U-8920-5156-MFW-01_Rev0</t>
        </is>
      </c>
      <c r="C997" s="21" t="n">
        <v>0</v>
      </c>
      <c r="D997" s="21" t="inlineStr">
        <is>
          <t>16.09.2026</t>
        </is>
      </c>
      <c r="E997" s="20" t="inlineStr">
        <is>
          <t>IFC - ISSUED FOR CONSTRUCTION</t>
        </is>
      </c>
      <c r="F997" s="21" t="n">
        <v>8920</v>
      </c>
      <c r="G997" s="20" t="inlineStr">
        <is>
          <t>PIPE MFTR STD PE100 SDR-11 BUTT FUSION JOINT BUTT FUSION JOINT</t>
        </is>
      </c>
      <c r="H997" s="20" t="inlineStr">
        <is>
          <t>PE100</t>
        </is>
      </c>
      <c r="I997" s="22" t="n">
        <v>40</v>
      </c>
      <c r="J997" s="21" t="inlineStr">
        <is>
          <t>90.8</t>
        </is>
      </c>
      <c r="K997" s="20" t="inlineStr">
        <is>
          <t>I71746907</t>
        </is>
      </c>
      <c r="L997" s="22" t="n">
        <v>7.7</v>
      </c>
      <c r="M997" s="20">
        <f>IFERROR(LEFT(B997,SEARCH("_Rev",B997)-1),B997)</f>
        <v/>
      </c>
      <c r="N997" s="20">
        <f>IF(B997="","",IF(ISNUMBER(C997),IF(COUNTIFS($M$3:$M$1026,M997,$C$3:$C$1026,"&gt;"&amp;C997)=0,"CURRENT","SUPERSEDED"),"CURRENT"))</f>
        <v/>
      </c>
      <c r="O997" s="19" t="n"/>
    </row>
    <row r="998">
      <c r="A998" s="19" t="n"/>
      <c r="B998" s="20" t="inlineStr">
        <is>
          <t>4503-XH-DL-600U-8920-5156-MFW-03_Rev0</t>
        </is>
      </c>
      <c r="C998" s="21" t="n">
        <v>0</v>
      </c>
      <c r="D998" s="21" t="inlineStr">
        <is>
          <t>16.09.2026</t>
        </is>
      </c>
      <c r="E998" s="20" t="inlineStr">
        <is>
          <t>IFC - ISSUED FOR CONSTRUCTION</t>
        </is>
      </c>
      <c r="F998" s="21" t="n">
        <v>8920</v>
      </c>
      <c r="G998" s="20" t="inlineStr">
        <is>
          <t>PIPE MFTR STD PE100 SDR-11 BUTT FUSION JOINT BUTT FUSION JOINT</t>
        </is>
      </c>
      <c r="H998" s="20" t="inlineStr">
        <is>
          <t>PE100</t>
        </is>
      </c>
      <c r="I998" s="22" t="n">
        <v>40</v>
      </c>
      <c r="J998" s="21" t="inlineStr">
        <is>
          <t>90.8</t>
        </is>
      </c>
      <c r="K998" s="20" t="inlineStr">
        <is>
          <t>I71746907</t>
        </is>
      </c>
      <c r="L998" s="22" t="n">
        <v>14.9</v>
      </c>
      <c r="M998" s="20">
        <f>IFERROR(LEFT(B998,SEARCH("_Rev",B998)-1),B998)</f>
        <v/>
      </c>
      <c r="N998" s="20">
        <f>IF(B998="","",IF(ISNUMBER(C998),IF(COUNTIFS($M$3:$M$1026,M998,$C$3:$C$1026,"&gt;"&amp;C998)=0,"CURRENT","SUPERSEDED"),"CURRENT"))</f>
        <v/>
      </c>
      <c r="O998" s="19" t="n"/>
    </row>
    <row r="999">
      <c r="A999" s="19" t="n"/>
      <c r="B999" s="20" t="inlineStr">
        <is>
          <t>4503-XH-DL-600U-8920-5426-MFW-01_Rev0</t>
        </is>
      </c>
      <c r="C999" s="21" t="n">
        <v>0</v>
      </c>
      <c r="D999" s="21" t="inlineStr">
        <is>
          <t>18.09.2026</t>
        </is>
      </c>
      <c r="E999" s="20" t="inlineStr">
        <is>
          <t>IFC - ISSUED FOR CONSTRUCTION</t>
        </is>
      </c>
      <c r="F999" s="21" t="n">
        <v>8920</v>
      </c>
      <c r="G999" s="20" t="inlineStr">
        <is>
          <t>PIPE MFTR STD PE100 SDR-11 BUTT FUSION JOINT BUTT FUSION JOINT</t>
        </is>
      </c>
      <c r="H999" s="20" t="inlineStr">
        <is>
          <t>PE100</t>
        </is>
      </c>
      <c r="I999" s="22" t="n">
        <v>24</v>
      </c>
      <c r="J999" s="21" t="inlineStr">
        <is>
          <t>57.2</t>
        </is>
      </c>
      <c r="K999" s="20" t="inlineStr">
        <is>
          <t>I69476434</t>
        </is>
      </c>
      <c r="L999" s="22" t="n">
        <v>32.4</v>
      </c>
      <c r="M999" s="20">
        <f>IFERROR(LEFT(B999,SEARCH("_Rev",B999)-1),B999)</f>
        <v/>
      </c>
      <c r="N999" s="20">
        <f>IF(B999="","",IF(ISNUMBER(C999),IF(COUNTIFS($M$3:$M$1026,M999,$C$3:$C$1026,"&gt;"&amp;C999)=0,"CURRENT","SUPERSEDED"),"CURRENT"))</f>
        <v/>
      </c>
      <c r="O999" s="19" t="n"/>
    </row>
    <row r="1000">
      <c r="A1000" s="19" t="n"/>
      <c r="B1000" s="20" t="inlineStr">
        <is>
          <t>4503-XH-DL-600U-8920-5426-MFW-03_Rev0</t>
        </is>
      </c>
      <c r="C1000" s="21" t="n">
        <v>0</v>
      </c>
      <c r="D1000" s="21" t="inlineStr">
        <is>
          <t>18.09.2026</t>
        </is>
      </c>
      <c r="E1000" s="20" t="inlineStr">
        <is>
          <t>IFC - ISSUED FOR CONSTRUCTION</t>
        </is>
      </c>
      <c r="F1000" s="21" t="n">
        <v>8920</v>
      </c>
      <c r="G1000" s="20" t="inlineStr">
        <is>
          <t>PIPE MFTR STD PE100 SDR-11 BUTT FUSION JOINT BUTT FUSION JOINT</t>
        </is>
      </c>
      <c r="H1000" s="20" t="inlineStr">
        <is>
          <t>PE100</t>
        </is>
      </c>
      <c r="I1000" s="22" t="n">
        <v>24</v>
      </c>
      <c r="J1000" s="21" t="inlineStr">
        <is>
          <t>57.2</t>
        </is>
      </c>
      <c r="K1000" s="20" t="inlineStr">
        <is>
          <t>I69476434</t>
        </is>
      </c>
      <c r="L1000" s="22" t="n">
        <v>10.8</v>
      </c>
      <c r="M1000" s="20">
        <f>IFERROR(LEFT(B1000,SEARCH("_Rev",B1000)-1),B1000)</f>
        <v/>
      </c>
      <c r="N1000" s="20">
        <f>IF(B1000="","",IF(ISNUMBER(C1000),IF(COUNTIFS($M$3:$M$1026,M1000,$C$3:$C$1026,"&gt;"&amp;C1000)=0,"CURRENT","SUPERSEDED"),"CURRENT"))</f>
        <v/>
      </c>
      <c r="O1000" s="19" t="n"/>
    </row>
    <row r="1001">
      <c r="A1001" s="19" t="n"/>
      <c r="B1001" s="20" t="inlineStr">
        <is>
          <t>4503-XH-DL-680U-8920-5004-MFW-01_Rev0</t>
        </is>
      </c>
      <c r="C1001" s="21" t="n">
        <v>0</v>
      </c>
      <c r="D1001" s="21" t="inlineStr">
        <is>
          <t>16.09.2026</t>
        </is>
      </c>
      <c r="E1001" s="20" t="inlineStr">
        <is>
          <t>IFC - ISSUED FOR CONSTRUCTION</t>
        </is>
      </c>
      <c r="F1001" s="21" t="n">
        <v>8920</v>
      </c>
      <c r="G1001" s="20" t="inlineStr">
        <is>
          <t>PIPE MFTR STD PE100 SDR-11 BUTT FUSION JOINT BUTT FUSION JOINT</t>
        </is>
      </c>
      <c r="H1001" s="20" t="inlineStr">
        <is>
          <t>PE100</t>
        </is>
      </c>
      <c r="I1001" s="22" t="n">
        <v>20</v>
      </c>
      <c r="J1001" s="21" t="inlineStr">
        <is>
          <t>45.4</t>
        </is>
      </c>
      <c r="K1001" s="20" t="inlineStr">
        <is>
          <t>I69476441</t>
        </is>
      </c>
      <c r="L1001" s="22" t="n">
        <v>83.2</v>
      </c>
      <c r="M1001" s="20">
        <f>IFERROR(LEFT(B1001,SEARCH("_Rev",B1001)-1),B1001)</f>
        <v/>
      </c>
      <c r="N1001" s="20">
        <f>IF(B1001="","",IF(ISNUMBER(C1001),IF(COUNTIFS($M$3:$M$1026,M1001,$C$3:$C$1026,"&gt;"&amp;C1001)=0,"CURRENT","SUPERSEDED"),"CURRENT"))</f>
        <v/>
      </c>
      <c r="O1001" s="19" t="n"/>
    </row>
    <row r="1002">
      <c r="A1002" s="19" t="n"/>
      <c r="B1002" s="20" t="inlineStr">
        <is>
          <t>4503-XH-DL-680U-8920-5006-MFW-01_Rev0</t>
        </is>
      </c>
      <c r="C1002" s="21" t="n">
        <v>0</v>
      </c>
      <c r="D1002" s="21" t="inlineStr">
        <is>
          <t>16.09.2026</t>
        </is>
      </c>
      <c r="E1002" s="20" t="inlineStr">
        <is>
          <t>IFC - ISSUED FOR CONSTRUCTION</t>
        </is>
      </c>
      <c r="F1002" s="21" t="n">
        <v>8920</v>
      </c>
      <c r="G1002" s="20" t="inlineStr">
        <is>
          <t>PIPE MFTR STD PE100 SDR-11 BUTT FUSION JOINT BUTT FUSION JOINT</t>
        </is>
      </c>
      <c r="H1002" s="20" t="inlineStr">
        <is>
          <t>PE100</t>
        </is>
      </c>
      <c r="I1002" s="22" t="n">
        <v>20</v>
      </c>
      <c r="J1002" s="21" t="inlineStr">
        <is>
          <t>45.4</t>
        </is>
      </c>
      <c r="K1002" s="20" t="inlineStr">
        <is>
          <t>I69476441</t>
        </is>
      </c>
      <c r="L1002" s="22" t="n">
        <v>78</v>
      </c>
      <c r="M1002" s="20">
        <f>IFERROR(LEFT(B1002,SEARCH("_Rev",B1002)-1),B1002)</f>
        <v/>
      </c>
      <c r="N1002" s="20">
        <f>IF(B1002="","",IF(ISNUMBER(C1002),IF(COUNTIFS($M$3:$M$1026,M1002,$C$3:$C$1026,"&gt;"&amp;C1002)=0,"CURRENT","SUPERSEDED"),"CURRENT"))</f>
        <v/>
      </c>
      <c r="O1002" s="19" t="n"/>
    </row>
    <row r="1003">
      <c r="A1003" s="19" t="n"/>
      <c r="B1003" s="20" t="inlineStr">
        <is>
          <t>4503-XH-DL-680U-8920-5011-MFW-01_Rev0</t>
        </is>
      </c>
      <c r="C1003" s="21" t="n">
        <v>0</v>
      </c>
      <c r="D1003" s="21" t="inlineStr">
        <is>
          <t>16.09.2026</t>
        </is>
      </c>
      <c r="E1003" s="20" t="inlineStr">
        <is>
          <t>IFC - ISSUED FOR CONSTRUCTION</t>
        </is>
      </c>
      <c r="F1003" s="21" t="n">
        <v>8920</v>
      </c>
      <c r="G1003" s="20" t="inlineStr">
        <is>
          <t>PIPE MFTR STD PE100 SDR-11 BUTT FUSION JOINT BUTT FUSION JOINT</t>
        </is>
      </c>
      <c r="H1003" s="20" t="inlineStr">
        <is>
          <t>PE100</t>
        </is>
      </c>
      <c r="I1003" s="22" t="n">
        <v>14</v>
      </c>
      <c r="J1003" s="21" t="inlineStr">
        <is>
          <t>32.2</t>
        </is>
      </c>
      <c r="K1003" s="20" t="inlineStr">
        <is>
          <t>I69476440</t>
        </is>
      </c>
      <c r="L1003" s="22" t="n">
        <v>6.5</v>
      </c>
      <c r="M1003" s="20">
        <f>IFERROR(LEFT(B1003,SEARCH("_Rev",B1003)-1),B1003)</f>
        <v/>
      </c>
      <c r="N1003" s="20">
        <f>IF(B1003="","",IF(ISNUMBER(C1003),IF(COUNTIFS($M$3:$M$1026,M1003,$C$3:$C$1026,"&gt;"&amp;C1003)=0,"CURRENT","SUPERSEDED"),"CURRENT"))</f>
        <v/>
      </c>
      <c r="O1003" s="19" t="n"/>
    </row>
    <row r="1004">
      <c r="A1004" s="19" t="n"/>
      <c r="B1004" s="20" t="inlineStr">
        <is>
          <t>4503-XH-DL-680U-8920-5013-MFW-01_Rev0</t>
        </is>
      </c>
      <c r="C1004" s="21" t="n">
        <v>0</v>
      </c>
      <c r="D1004" s="21" t="inlineStr">
        <is>
          <t>16.09.2026</t>
        </is>
      </c>
      <c r="E1004" s="20" t="inlineStr">
        <is>
          <t>IFC - ISSUED FOR CONSTRUCTION</t>
        </is>
      </c>
      <c r="F1004" s="21" t="n">
        <v>8920</v>
      </c>
      <c r="G1004" s="20" t="inlineStr">
        <is>
          <t>PIPE MFTR STD PE100 SDR-11 BUTT FUSION JOINT BUTT FUSION JOINT</t>
        </is>
      </c>
      <c r="H1004" s="20" t="inlineStr">
        <is>
          <t>PE100</t>
        </is>
      </c>
      <c r="I1004" s="22" t="n">
        <v>14</v>
      </c>
      <c r="J1004" s="21" t="inlineStr">
        <is>
          <t>32.2</t>
        </is>
      </c>
      <c r="K1004" s="20" t="inlineStr">
        <is>
          <t>I69476440</t>
        </is>
      </c>
      <c r="L1004" s="22" t="n">
        <v>65.90000000000001</v>
      </c>
      <c r="M1004" s="20">
        <f>IFERROR(LEFT(B1004,SEARCH("_Rev",B1004)-1),B1004)</f>
        <v/>
      </c>
      <c r="N1004" s="20">
        <f>IF(B1004="","",IF(ISNUMBER(C1004),IF(COUNTIFS($M$3:$M$1026,M1004,$C$3:$C$1026,"&gt;"&amp;C1004)=0,"CURRENT","SUPERSEDED"),"CURRENT"))</f>
        <v/>
      </c>
      <c r="O1004" s="19" t="n"/>
    </row>
    <row r="1005">
      <c r="A1005" s="19" t="n"/>
      <c r="B1005" s="20" t="inlineStr">
        <is>
          <t>4503-XH-DL-680U-8920-5015-MFW-01_Rev0</t>
        </is>
      </c>
      <c r="C1005" s="21" t="n">
        <v>0</v>
      </c>
      <c r="D1005" s="21" t="inlineStr">
        <is>
          <t>16.09.2026</t>
        </is>
      </c>
      <c r="E1005" s="20" t="inlineStr">
        <is>
          <t>IFC - ISSUED FOR CONSTRUCTION</t>
        </is>
      </c>
      <c r="F1005" s="21" t="n">
        <v>8920</v>
      </c>
      <c r="G1005" s="20" t="inlineStr">
        <is>
          <t>PIPE MFTR STD PE100 SDR-11 BUTT FUSION JOINT BUTT FUSION JOINT</t>
        </is>
      </c>
      <c r="H1005" s="20" t="inlineStr">
        <is>
          <t>PE100</t>
        </is>
      </c>
      <c r="I1005" s="22" t="n">
        <v>16</v>
      </c>
      <c r="J1005" s="21" t="inlineStr">
        <is>
          <t>36.3</t>
        </is>
      </c>
      <c r="K1005" s="20" t="inlineStr">
        <is>
          <t>I69476438</t>
        </is>
      </c>
      <c r="L1005" s="22" t="n">
        <v>57.1</v>
      </c>
      <c r="M1005" s="20">
        <f>IFERROR(LEFT(B1005,SEARCH("_Rev",B1005)-1),B1005)</f>
        <v/>
      </c>
      <c r="N1005" s="20">
        <f>IF(B1005="","",IF(ISNUMBER(C1005),IF(COUNTIFS($M$3:$M$1026,M1005,$C$3:$C$1026,"&gt;"&amp;C1005)=0,"CURRENT","SUPERSEDED"),"CURRENT"))</f>
        <v/>
      </c>
      <c r="O1005" s="19" t="n"/>
    </row>
    <row r="1006">
      <c r="A1006" s="19" t="n"/>
      <c r="B1006" s="20" t="inlineStr">
        <is>
          <t>4503-XH-DL-680U-8920-5019-MFW-01_Rev0</t>
        </is>
      </c>
      <c r="C1006" s="21" t="n">
        <v>0</v>
      </c>
      <c r="D1006" s="21" t="inlineStr">
        <is>
          <t>16.09.2026</t>
        </is>
      </c>
      <c r="E1006" s="20" t="inlineStr">
        <is>
          <t>IFC - ISSUED FOR CONSTRUCTION</t>
        </is>
      </c>
      <c r="F1006" s="21" t="n">
        <v>8920</v>
      </c>
      <c r="G1006" s="20" t="inlineStr">
        <is>
          <t>PIPE MFTR STD PE100 SDR-11 BUTT FUSION JOINT BUTT FUSION JOINT</t>
        </is>
      </c>
      <c r="H1006" s="20" t="inlineStr">
        <is>
          <t>PE100</t>
        </is>
      </c>
      <c r="I1006" s="22" t="n">
        <v>14</v>
      </c>
      <c r="J1006" s="21" t="inlineStr">
        <is>
          <t>32.2</t>
        </is>
      </c>
      <c r="K1006" s="20" t="inlineStr">
        <is>
          <t>I69476440</t>
        </is>
      </c>
      <c r="L1006" s="22" t="n">
        <v>77.8</v>
      </c>
      <c r="M1006" s="20">
        <f>IFERROR(LEFT(B1006,SEARCH("_Rev",B1006)-1),B1006)</f>
        <v/>
      </c>
      <c r="N1006" s="20">
        <f>IF(B1006="","",IF(ISNUMBER(C1006),IF(COUNTIFS($M$3:$M$1026,M1006,$C$3:$C$1026,"&gt;"&amp;C1006)=0,"CURRENT","SUPERSEDED"),"CURRENT"))</f>
        <v/>
      </c>
      <c r="O1006" s="19" t="n"/>
    </row>
    <row r="1007">
      <c r="A1007" s="19" t="n"/>
      <c r="B1007" s="20" t="inlineStr">
        <is>
          <t>4503-XH-DL-863U-8920-5107-MFW-01_Rev0</t>
        </is>
      </c>
      <c r="C1007" s="21" t="n">
        <v>0</v>
      </c>
      <c r="D1007" s="21" t="inlineStr">
        <is>
          <t>16.09.2026</t>
        </is>
      </c>
      <c r="E1007" s="20" t="inlineStr">
        <is>
          <t>IFC - ISSUED FOR CONSTRUCTION</t>
        </is>
      </c>
      <c r="F1007" s="21" t="n">
        <v>8920</v>
      </c>
      <c r="G1007" s="20" t="inlineStr">
        <is>
          <t>PIPE MFTR STD PE100 SDR-11 BUTT FUSION JOINT BUTT FUSION JOINT</t>
        </is>
      </c>
      <c r="H1007" s="20" t="inlineStr">
        <is>
          <t>PE100</t>
        </is>
      </c>
      <c r="I1007" s="22" t="n">
        <v>40</v>
      </c>
      <c r="J1007" s="21" t="inlineStr">
        <is>
          <t>90.8</t>
        </is>
      </c>
      <c r="K1007" s="20" t="inlineStr">
        <is>
          <t>I71746907</t>
        </is>
      </c>
      <c r="L1007" s="22" t="n">
        <v>28.8</v>
      </c>
      <c r="M1007" s="20">
        <f>IFERROR(LEFT(B1007,SEARCH("_Rev",B1007)-1),B1007)</f>
        <v/>
      </c>
      <c r="N1007" s="20">
        <f>IF(B1007="","",IF(ISNUMBER(C1007),IF(COUNTIFS($M$3:$M$1026,M1007,$C$3:$C$1026,"&gt;"&amp;C1007)=0,"CURRENT","SUPERSEDED"),"CURRENT"))</f>
        <v/>
      </c>
      <c r="O1007" s="19" t="n"/>
    </row>
    <row r="1008">
      <c r="A1008" s="19" t="n"/>
      <c r="B1008" s="20" t="inlineStr">
        <is>
          <t>4503-XH-DL-864U-8920-5113-MFW-01_Rev0</t>
        </is>
      </c>
      <c r="C1008" s="21" t="n">
        <v>0</v>
      </c>
      <c r="D1008" s="21" t="inlineStr">
        <is>
          <t>18.09.2026</t>
        </is>
      </c>
      <c r="E1008" s="20" t="inlineStr">
        <is>
          <t>IFC - ISSUED FOR CONSTRUCTION</t>
        </is>
      </c>
      <c r="F1008" s="21" t="n">
        <v>8920</v>
      </c>
      <c r="G1008" s="20" t="inlineStr">
        <is>
          <t>PIPE MFTR STD PE100 SDR-11 BUTT FUSION JOINT BUTT FUSION JOINT</t>
        </is>
      </c>
      <c r="H1008" s="20" t="inlineStr">
        <is>
          <t>PE100</t>
        </is>
      </c>
      <c r="I1008" s="22" t="n">
        <v>40</v>
      </c>
      <c r="J1008" s="21" t="inlineStr">
        <is>
          <t>90.8</t>
        </is>
      </c>
      <c r="K1008" s="20" t="inlineStr">
        <is>
          <t>I71746907</t>
        </is>
      </c>
      <c r="L1008" s="22" t="n">
        <v>13.7</v>
      </c>
      <c r="M1008" s="20">
        <f>IFERROR(LEFT(B1008,SEARCH("_Rev",B1008)-1),B1008)</f>
        <v/>
      </c>
      <c r="N1008" s="20">
        <f>IF(B1008="","",IF(ISNUMBER(C1008),IF(COUNTIFS($M$3:$M$1026,M1008,$C$3:$C$1026,"&gt;"&amp;C1008)=0,"CURRENT","SUPERSEDED"),"CURRENT"))</f>
        <v/>
      </c>
      <c r="O1008" s="19" t="n"/>
    </row>
    <row r="1009">
      <c r="A1009" s="19" t="n"/>
      <c r="B1009" s="20" t="inlineStr">
        <is>
          <t>4503-XH-DL-864U-8920-5129-MFW-01_Rev0</t>
        </is>
      </c>
      <c r="C1009" s="21" t="n">
        <v>0</v>
      </c>
      <c r="D1009" s="21" t="inlineStr">
        <is>
          <t>16.09.2026</t>
        </is>
      </c>
      <c r="E1009" s="20" t="inlineStr">
        <is>
          <t>IFC - ISSUED FOR CONSTRUCTION</t>
        </is>
      </c>
      <c r="F1009" s="21" t="n">
        <v>8920</v>
      </c>
      <c r="G1009" s="20" t="inlineStr">
        <is>
          <t>PIPE MFTR STD PE100 SDR-11 BUTT FUSION JOINT BUTT FUSION JOINT</t>
        </is>
      </c>
      <c r="H1009" s="20" t="inlineStr">
        <is>
          <t>PE100</t>
        </is>
      </c>
      <c r="I1009" s="22" t="n">
        <v>40</v>
      </c>
      <c r="J1009" s="21" t="inlineStr">
        <is>
          <t>90.8</t>
        </is>
      </c>
      <c r="K1009" s="20" t="inlineStr">
        <is>
          <t>I71746907</t>
        </is>
      </c>
      <c r="L1009" s="22" t="n">
        <v>10.2</v>
      </c>
      <c r="M1009" s="20">
        <f>IFERROR(LEFT(B1009,SEARCH("_Rev",B1009)-1),B1009)</f>
        <v/>
      </c>
      <c r="N1009" s="20">
        <f>IF(B1009="","",IF(ISNUMBER(C1009),IF(COUNTIFS($M$3:$M$1026,M1009,$C$3:$C$1026,"&gt;"&amp;C1009)=0,"CURRENT","SUPERSEDED"),"CURRENT"))</f>
        <v/>
      </c>
      <c r="O1009" s="19" t="n"/>
    </row>
    <row r="1010">
      <c r="A1010" s="19" t="n"/>
      <c r="B1010" s="20" t="inlineStr">
        <is>
          <t>4503-XH-DL-864U-8920-5129-MFW-03_Rev0</t>
        </is>
      </c>
      <c r="C1010" s="21" t="n">
        <v>0</v>
      </c>
      <c r="D1010" s="21" t="inlineStr">
        <is>
          <t>16.09.2026</t>
        </is>
      </c>
      <c r="E1010" s="20" t="inlineStr">
        <is>
          <t>IFC - ISSUED FOR CONSTRUCTION</t>
        </is>
      </c>
      <c r="F1010" s="21" t="n">
        <v>8920</v>
      </c>
      <c r="G1010" s="20" t="inlineStr">
        <is>
          <t>PIPE MFTR STD PE100 SDR-11 BUTT FUSION JOINT BUTT FUSION JOINT</t>
        </is>
      </c>
      <c r="H1010" s="20" t="inlineStr">
        <is>
          <t>PE100</t>
        </is>
      </c>
      <c r="I1010" s="22" t="n">
        <v>40</v>
      </c>
      <c r="J1010" s="21" t="inlineStr">
        <is>
          <t>90.8</t>
        </is>
      </c>
      <c r="K1010" s="20" t="inlineStr">
        <is>
          <t>I71746907</t>
        </is>
      </c>
      <c r="L1010" s="22" t="n">
        <v>7.6</v>
      </c>
      <c r="M1010" s="20">
        <f>IFERROR(LEFT(B1010,SEARCH("_Rev",B1010)-1),B1010)</f>
        <v/>
      </c>
      <c r="N1010" s="20">
        <f>IF(B1010="","",IF(ISNUMBER(C1010),IF(COUNTIFS($M$3:$M$1026,M1010,$C$3:$C$1026,"&gt;"&amp;C1010)=0,"CURRENT","SUPERSEDED"),"CURRENT"))</f>
        <v/>
      </c>
      <c r="O1010" s="19" t="n"/>
    </row>
    <row r="1011">
      <c r="A1011" s="19" t="n"/>
      <c r="B1011" s="20" t="inlineStr">
        <is>
          <t>4503-XH-DL-864U-8920-5132-MFW-01_Rev0</t>
        </is>
      </c>
      <c r="C1011" s="21" t="n">
        <v>0</v>
      </c>
      <c r="D1011" s="21" t="inlineStr">
        <is>
          <t>16.09.2026</t>
        </is>
      </c>
      <c r="E1011" s="20" t="inlineStr">
        <is>
          <t>IFC - ISSUED FOR CONSTRUCTION</t>
        </is>
      </c>
      <c r="F1011" s="21" t="n">
        <v>8920</v>
      </c>
      <c r="G1011" s="20" t="inlineStr">
        <is>
          <t>PIPE MFTR STD PE100 SDR-11 BUTT FUSION JOINT BUTT FUSION JOINT</t>
        </is>
      </c>
      <c r="H1011" s="20" t="inlineStr">
        <is>
          <t>PE100</t>
        </is>
      </c>
      <c r="I1011" s="22" t="n">
        <v>40</v>
      </c>
      <c r="J1011" s="21" t="inlineStr">
        <is>
          <t>90.8</t>
        </is>
      </c>
      <c r="K1011" s="20" t="inlineStr">
        <is>
          <t>I71746907</t>
        </is>
      </c>
      <c r="L1011" s="22" t="n">
        <v>27.7</v>
      </c>
      <c r="M1011" s="20">
        <f>IFERROR(LEFT(B1011,SEARCH("_Rev",B1011)-1),B1011)</f>
        <v/>
      </c>
      <c r="N1011" s="20">
        <f>IF(B1011="","",IF(ISNUMBER(C1011),IF(COUNTIFS($M$3:$M$1026,M1011,$C$3:$C$1026,"&gt;"&amp;C1011)=0,"CURRENT","SUPERSEDED"),"CURRENT"))</f>
        <v/>
      </c>
      <c r="O1011" s="19" t="n"/>
    </row>
    <row r="1012">
      <c r="A1012" s="19" t="n"/>
      <c r="B1012" s="20" t="inlineStr">
        <is>
          <t>4503-XH-DL-881U-8920-5258-MFW-01_Rev0</t>
        </is>
      </c>
      <c r="C1012" s="21" t="n">
        <v>0</v>
      </c>
      <c r="D1012" s="21" t="inlineStr">
        <is>
          <t>16.09.2026</t>
        </is>
      </c>
      <c r="E1012" s="20" t="inlineStr">
        <is>
          <t>IFC - ISSUED FOR CONSTRUCTION</t>
        </is>
      </c>
      <c r="F1012" s="21" t="n">
        <v>8920</v>
      </c>
      <c r="G1012" s="20" t="inlineStr">
        <is>
          <t>PIPE MFTR STD PE100 SDR-11 BUTT FUSION JOINT BUTT FUSION JOINT</t>
        </is>
      </c>
      <c r="H1012" s="20" t="inlineStr">
        <is>
          <t>PE100</t>
        </is>
      </c>
      <c r="I1012" s="22" t="n">
        <v>10</v>
      </c>
      <c r="J1012" s="21" t="inlineStr">
        <is>
          <t>22.7</t>
        </is>
      </c>
      <c r="K1012" s="20" t="inlineStr">
        <is>
          <t>I69476442</t>
        </is>
      </c>
      <c r="L1012" s="22" t="n">
        <v>23.6</v>
      </c>
      <c r="M1012" s="20">
        <f>IFERROR(LEFT(B1012,SEARCH("_Rev",B1012)-1),B1012)</f>
        <v/>
      </c>
      <c r="N1012" s="20">
        <f>IF(B1012="","",IF(ISNUMBER(C1012),IF(COUNTIFS($M$3:$M$1026,M1012,$C$3:$C$1026,"&gt;"&amp;C1012)=0,"CURRENT","SUPERSEDED"),"CURRENT"))</f>
        <v/>
      </c>
      <c r="O1012" s="19" t="n"/>
    </row>
    <row r="1013">
      <c r="A1013" s="19" t="n"/>
      <c r="B1013" s="20" t="inlineStr">
        <is>
          <t>4503-XH-DL-881U-8920-5258-MFW-03_Rev0</t>
        </is>
      </c>
      <c r="C1013" s="21" t="n">
        <v>0</v>
      </c>
      <c r="D1013" s="21" t="inlineStr">
        <is>
          <t>16.09.2026</t>
        </is>
      </c>
      <c r="E1013" s="20" t="inlineStr">
        <is>
          <t>IFC - ISSUED FOR CONSTRUCTION</t>
        </is>
      </c>
      <c r="F1013" s="21" t="n">
        <v>8920</v>
      </c>
      <c r="G1013" s="20" t="inlineStr">
        <is>
          <t>PIPE MFTR STD PE100 SDR-11 BUTT FUSION JOINT BUTT FUSION JOINT</t>
        </is>
      </c>
      <c r="H1013" s="20" t="inlineStr">
        <is>
          <t>PE100</t>
        </is>
      </c>
      <c r="I1013" s="22" t="n">
        <v>10</v>
      </c>
      <c r="J1013" s="21" t="inlineStr">
        <is>
          <t>22.7</t>
        </is>
      </c>
      <c r="K1013" s="20" t="inlineStr">
        <is>
          <t>I69476442</t>
        </is>
      </c>
      <c r="L1013" s="22" t="n">
        <v>22.5</v>
      </c>
      <c r="M1013" s="20">
        <f>IFERROR(LEFT(B1013,SEARCH("_Rev",B1013)-1),B1013)</f>
        <v/>
      </c>
      <c r="N1013" s="20">
        <f>IF(B1013="","",IF(ISNUMBER(C1013),IF(COUNTIFS($M$3:$M$1026,M1013,$C$3:$C$1026,"&gt;"&amp;C1013)=0,"CURRENT","SUPERSEDED"),"CURRENT"))</f>
        <v/>
      </c>
      <c r="O1013" s="19" t="n"/>
    </row>
    <row r="1014">
      <c r="A1014" s="19" t="n"/>
      <c r="B1014" s="20" t="inlineStr">
        <is>
          <t>4503-XH-DL-882U-8920-5099-MFW-01_Rev0</t>
        </is>
      </c>
      <c r="C1014" s="21" t="n">
        <v>0</v>
      </c>
      <c r="D1014" s="21" t="inlineStr">
        <is>
          <t>16.09.2026</t>
        </is>
      </c>
      <c r="E1014" s="20" t="inlineStr">
        <is>
          <t>IFC - ISSUED FOR CONSTRUCTION</t>
        </is>
      </c>
      <c r="F1014" s="21" t="n">
        <v>8920</v>
      </c>
      <c r="G1014" s="20" t="inlineStr">
        <is>
          <t>PIPE MFTR STD PE100 SDR-11 BUTT FUSION JOINT BUTT FUSION JOINT</t>
        </is>
      </c>
      <c r="H1014" s="20" t="inlineStr">
        <is>
          <t>PE100</t>
        </is>
      </c>
      <c r="I1014" s="22" t="n">
        <v>40</v>
      </c>
      <c r="J1014" s="21" t="inlineStr">
        <is>
          <t>90.8</t>
        </is>
      </c>
      <c r="K1014" s="20" t="inlineStr">
        <is>
          <t>I71746907</t>
        </is>
      </c>
      <c r="L1014" s="22" t="n">
        <v>2.2</v>
      </c>
      <c r="M1014" s="20">
        <f>IFERROR(LEFT(B1014,SEARCH("_Rev",B1014)-1),B1014)</f>
        <v/>
      </c>
      <c r="N1014" s="20">
        <f>IF(B1014="","",IF(ISNUMBER(C1014),IF(COUNTIFS($M$3:$M$1026,M1014,$C$3:$C$1026,"&gt;"&amp;C1014)=0,"CURRENT","SUPERSEDED"),"CURRENT"))</f>
        <v/>
      </c>
      <c r="O1014" s="19" t="n"/>
    </row>
    <row r="1015">
      <c r="A1015" s="19" t="n"/>
      <c r="B1015" s="20" t="inlineStr">
        <is>
          <t>4503-XH-DL-882U-8920-5099-MFW-03_Rev0</t>
        </is>
      </c>
      <c r="C1015" s="21" t="n">
        <v>0</v>
      </c>
      <c r="D1015" s="21" t="inlineStr">
        <is>
          <t>16.09.2026</t>
        </is>
      </c>
      <c r="E1015" s="20" t="inlineStr">
        <is>
          <t>IFC - ISSUED FOR CONSTRUCTION</t>
        </is>
      </c>
      <c r="F1015" s="21" t="n">
        <v>8920</v>
      </c>
      <c r="G1015" s="20" t="inlineStr">
        <is>
          <t>PIPE MFTR STD PE100 SDR-11 BUTT FUSION JOINT BUTT FUSION JOINT</t>
        </is>
      </c>
      <c r="H1015" s="20" t="inlineStr">
        <is>
          <t>PE100</t>
        </is>
      </c>
      <c r="I1015" s="22" t="n">
        <v>40</v>
      </c>
      <c r="J1015" s="21" t="inlineStr">
        <is>
          <t>90.8</t>
        </is>
      </c>
      <c r="K1015" s="20" t="inlineStr">
        <is>
          <t>I71746907</t>
        </is>
      </c>
      <c r="L1015" s="22" t="n">
        <v>24.2</v>
      </c>
      <c r="M1015" s="20">
        <f>IFERROR(LEFT(B1015,SEARCH("_Rev",B1015)-1),B1015)</f>
        <v/>
      </c>
      <c r="N1015" s="20">
        <f>IF(B1015="","",IF(ISNUMBER(C1015),IF(COUNTIFS($M$3:$M$1026,M1015,$C$3:$C$1026,"&gt;"&amp;C1015)=0,"CURRENT","SUPERSEDED"),"CURRENT"))</f>
        <v/>
      </c>
      <c r="O1015" s="19" t="n"/>
    </row>
    <row r="1016">
      <c r="A1016" s="19" t="n"/>
      <c r="B1016" s="20" t="inlineStr">
        <is>
          <t>4503-XH-DL-882U-8920-5218-MFW-01_Rev0</t>
        </is>
      </c>
      <c r="C1016" s="21" t="n">
        <v>0</v>
      </c>
      <c r="D1016" s="21" t="inlineStr">
        <is>
          <t>16.09.2026</t>
        </is>
      </c>
      <c r="E1016" s="20" t="inlineStr">
        <is>
          <t>IFC - ISSUED FOR CONSTRUCTION</t>
        </is>
      </c>
      <c r="F1016" s="21" t="n">
        <v>8920</v>
      </c>
      <c r="G1016" s="20" t="inlineStr">
        <is>
          <t>PIPE MFTR STD PE100 SDR-11 BUTT FUSION JOINT BUTT FUSION JOINT</t>
        </is>
      </c>
      <c r="H1016" s="20" t="inlineStr">
        <is>
          <t>PE100</t>
        </is>
      </c>
      <c r="I1016" s="22" t="n">
        <v>16</v>
      </c>
      <c r="J1016" s="21" t="inlineStr">
        <is>
          <t>36.3</t>
        </is>
      </c>
      <c r="K1016" s="20" t="inlineStr">
        <is>
          <t>I69476438</t>
        </is>
      </c>
      <c r="L1016" s="22" t="n">
        <v>167.1</v>
      </c>
      <c r="M1016" s="20">
        <f>IFERROR(LEFT(B1016,SEARCH("_Rev",B1016)-1),B1016)</f>
        <v/>
      </c>
      <c r="N1016" s="20">
        <f>IF(B1016="","",IF(ISNUMBER(C1016),IF(COUNTIFS($M$3:$M$1026,M1016,$C$3:$C$1026,"&gt;"&amp;C1016)=0,"CURRENT","SUPERSEDED"),"CURRENT"))</f>
        <v/>
      </c>
      <c r="O1016" s="19" t="n"/>
    </row>
    <row r="1017">
      <c r="A1017" s="19" t="n"/>
      <c r="B1017" s="20" t="inlineStr">
        <is>
          <t>4503-XH-DL-882U-8920-5218-MFW-03_Rev0</t>
        </is>
      </c>
      <c r="C1017" s="21" t="n">
        <v>0</v>
      </c>
      <c r="D1017" s="21" t="inlineStr">
        <is>
          <t>16.09.2026</t>
        </is>
      </c>
      <c r="E1017" s="20" t="inlineStr">
        <is>
          <t>IFC - ISSUED FOR CONSTRUCTION</t>
        </is>
      </c>
      <c r="F1017" s="21" t="n">
        <v>8920</v>
      </c>
      <c r="G1017" s="20" t="inlineStr">
        <is>
          <t>PIPE MFTR STD PE100 SDR-11 BUTT FUSION JOINT BUTT FUSION JOINT</t>
        </is>
      </c>
      <c r="H1017" s="20" t="inlineStr">
        <is>
          <t>PE100</t>
        </is>
      </c>
      <c r="I1017" s="22" t="n">
        <v>16</v>
      </c>
      <c r="J1017" s="21" t="inlineStr">
        <is>
          <t>36.3</t>
        </is>
      </c>
      <c r="K1017" s="20" t="inlineStr">
        <is>
          <t>I69476438</t>
        </is>
      </c>
      <c r="L1017" s="22" t="n">
        <v>1</v>
      </c>
      <c r="M1017" s="20">
        <f>IFERROR(LEFT(B1017,SEARCH("_Rev",B1017)-1),B1017)</f>
        <v/>
      </c>
      <c r="N1017" s="20">
        <f>IF(B1017="","",IF(ISNUMBER(C1017),IF(COUNTIFS($M$3:$M$1026,M1017,$C$3:$C$1026,"&gt;"&amp;C1017)=0,"CURRENT","SUPERSEDED"),"CURRENT"))</f>
        <v/>
      </c>
      <c r="O1017" s="19" t="n"/>
    </row>
    <row r="1018">
      <c r="A1018" s="19" t="n"/>
      <c r="B1018" s="20" t="inlineStr">
        <is>
          <t>4503-XH-DL-882U-8920-5262-MFW-01_Rev0</t>
        </is>
      </c>
      <c r="C1018" s="21" t="n">
        <v>0</v>
      </c>
      <c r="D1018" s="21" t="inlineStr">
        <is>
          <t>16.09.2026</t>
        </is>
      </c>
      <c r="E1018" s="20" t="inlineStr">
        <is>
          <t>IFC - ISSUED FOR CONSTRUCTION</t>
        </is>
      </c>
      <c r="F1018" s="21" t="n">
        <v>8920</v>
      </c>
      <c r="G1018" s="20" t="inlineStr">
        <is>
          <t>PIPE MFTR STD PE100 SDR-11 BUTT FUSION JOINT BUTT FUSION JOINT</t>
        </is>
      </c>
      <c r="H1018" s="20" t="inlineStr">
        <is>
          <t>PE100</t>
        </is>
      </c>
      <c r="I1018" s="22" t="n">
        <v>12</v>
      </c>
      <c r="J1018" s="21" t="inlineStr">
        <is>
          <t>28.6</t>
        </is>
      </c>
      <c r="K1018" s="20" t="inlineStr">
        <is>
          <t>I69476435</t>
        </is>
      </c>
      <c r="L1018" s="22" t="n">
        <v>55.9</v>
      </c>
      <c r="M1018" s="20">
        <f>IFERROR(LEFT(B1018,SEARCH("_Rev",B1018)-1),B1018)</f>
        <v/>
      </c>
      <c r="N1018" s="20">
        <f>IF(B1018="","",IF(ISNUMBER(C1018),IF(COUNTIFS($M$3:$M$1026,M1018,$C$3:$C$1026,"&gt;"&amp;C1018)=0,"CURRENT","SUPERSEDED"),"CURRENT"))</f>
        <v/>
      </c>
      <c r="O1018" s="19" t="n"/>
    </row>
    <row r="1019">
      <c r="A1019" s="19" t="n"/>
      <c r="B1019" s="20" t="inlineStr">
        <is>
          <t>4503-XH-DL-882U-8920-5264-MFW-01_Rev0</t>
        </is>
      </c>
      <c r="C1019" s="21" t="n">
        <v>0</v>
      </c>
      <c r="D1019" s="21" t="inlineStr">
        <is>
          <t>16.09.2026</t>
        </is>
      </c>
      <c r="E1019" s="20" t="inlineStr">
        <is>
          <t>IFC - ISSUED FOR CONSTRUCTION</t>
        </is>
      </c>
      <c r="F1019" s="21" t="n">
        <v>8920</v>
      </c>
      <c r="G1019" s="20" t="inlineStr">
        <is>
          <t>PIPE MFTR STD PE100 SDR-11 BUTT FUSION JOINT BUTT FUSION JOINT</t>
        </is>
      </c>
      <c r="H1019" s="20" t="inlineStr">
        <is>
          <t>PE100</t>
        </is>
      </c>
      <c r="I1019" s="22" t="n">
        <v>12</v>
      </c>
      <c r="J1019" s="21" t="inlineStr">
        <is>
          <t>28.6</t>
        </is>
      </c>
      <c r="K1019" s="20" t="inlineStr">
        <is>
          <t>I69476435</t>
        </is>
      </c>
      <c r="L1019" s="22" t="n">
        <v>61.6</v>
      </c>
      <c r="M1019" s="20">
        <f>IFERROR(LEFT(B1019,SEARCH("_Rev",B1019)-1),B1019)</f>
        <v/>
      </c>
      <c r="N1019" s="20">
        <f>IF(B1019="","",IF(ISNUMBER(C1019),IF(COUNTIFS($M$3:$M$1026,M1019,$C$3:$C$1026,"&gt;"&amp;C1019)=0,"CURRENT","SUPERSEDED"),"CURRENT"))</f>
        <v/>
      </c>
      <c r="O1019" s="19" t="n"/>
    </row>
    <row r="1020">
      <c r="A1020" s="19" t="n"/>
      <c r="B1020" s="20" t="inlineStr">
        <is>
          <t>4503-XH-DL-882U-8920-5272-MFW-01_Rev0</t>
        </is>
      </c>
      <c r="C1020" s="21" t="n">
        <v>0</v>
      </c>
      <c r="D1020" s="21" t="inlineStr">
        <is>
          <t>16.09.2026</t>
        </is>
      </c>
      <c r="E1020" s="20" t="inlineStr">
        <is>
          <t>IFC - ISSUED FOR CONSTRUCTION</t>
        </is>
      </c>
      <c r="F1020" s="21" t="n">
        <v>8920</v>
      </c>
      <c r="G1020" s="20" t="inlineStr">
        <is>
          <t>PIPE MFTR STD PE100 SDR-11 BUTT FUSION JOINT BUTT FUSION JOINT</t>
        </is>
      </c>
      <c r="H1020" s="20" t="inlineStr">
        <is>
          <t>PE100</t>
        </is>
      </c>
      <c r="I1020" s="22" t="n">
        <v>6</v>
      </c>
      <c r="J1020" s="21" t="inlineStr">
        <is>
          <t>14.6</t>
        </is>
      </c>
      <c r="K1020" s="20" t="inlineStr">
        <is>
          <t>I70662967</t>
        </is>
      </c>
      <c r="L1020" s="22" t="n">
        <v>8.6</v>
      </c>
      <c r="M1020" s="20">
        <f>IFERROR(LEFT(B1020,SEARCH("_Rev",B1020)-1),B1020)</f>
        <v/>
      </c>
      <c r="N1020" s="20">
        <f>IF(B1020="","",IF(ISNUMBER(C1020),IF(COUNTIFS($M$3:$M$1026,M1020,$C$3:$C$1026,"&gt;"&amp;C1020)=0,"CURRENT","SUPERSEDED"),"CURRENT"))</f>
        <v/>
      </c>
      <c r="O1020" s="19" t="n"/>
    </row>
    <row r="1021">
      <c r="A1021" s="19" t="n"/>
      <c r="B1021" s="20" t="inlineStr">
        <is>
          <t>4503-XH-DL-882U-8920-5274-MFW-01_Rev0</t>
        </is>
      </c>
      <c r="C1021" s="21" t="n">
        <v>0</v>
      </c>
      <c r="D1021" s="21" t="inlineStr">
        <is>
          <t>16.09.2026</t>
        </is>
      </c>
      <c r="E1021" s="20" t="inlineStr">
        <is>
          <t>IFC - ISSUED FOR CONSTRUCTION</t>
        </is>
      </c>
      <c r="F1021" s="21" t="n">
        <v>8920</v>
      </c>
      <c r="G1021" s="20" t="inlineStr">
        <is>
          <t>PIPE MFTR STD PE100 SDR-11 BUTT FUSION JOINT BUTT FUSION JOINT</t>
        </is>
      </c>
      <c r="H1021" s="20" t="inlineStr">
        <is>
          <t>PE100</t>
        </is>
      </c>
      <c r="I1021" s="22" t="n">
        <v>6</v>
      </c>
      <c r="J1021" s="21" t="inlineStr">
        <is>
          <t>14.6</t>
        </is>
      </c>
      <c r="K1021" s="20" t="inlineStr">
        <is>
          <t>I70662967</t>
        </is>
      </c>
      <c r="L1021" s="22" t="n">
        <v>8.6</v>
      </c>
      <c r="M1021" s="20">
        <f>IFERROR(LEFT(B1021,SEARCH("_Rev",B1021)-1),B1021)</f>
        <v/>
      </c>
      <c r="N1021" s="20">
        <f>IF(B1021="","",IF(ISNUMBER(C1021),IF(COUNTIFS($M$3:$M$1026,M1021,$C$3:$C$1026,"&gt;"&amp;C1021)=0,"CURRENT","SUPERSEDED"),"CURRENT"))</f>
        <v/>
      </c>
      <c r="O1021" s="19" t="n"/>
    </row>
    <row r="1022">
      <c r="A1022" s="19" t="n"/>
      <c r="B1022" s="20" t="inlineStr">
        <is>
          <t>4503-XH-DL-882U-8920-5276-MFW-01_Rev0</t>
        </is>
      </c>
      <c r="C1022" s="21" t="n">
        <v>0</v>
      </c>
      <c r="D1022" s="21" t="inlineStr">
        <is>
          <t>16.09.2026</t>
        </is>
      </c>
      <c r="E1022" s="20" t="inlineStr">
        <is>
          <t>IFC - ISSUED FOR CONSTRUCTION</t>
        </is>
      </c>
      <c r="F1022" s="21" t="n">
        <v>8920</v>
      </c>
      <c r="G1022" s="20" t="inlineStr">
        <is>
          <t>PIPE MFTR STD PE100 SDR-11 BUTT FUSION JOINT BUTT FUSION JOINT</t>
        </is>
      </c>
      <c r="H1022" s="20" t="inlineStr">
        <is>
          <t>PE100</t>
        </is>
      </c>
      <c r="I1022" s="22" t="n">
        <v>6</v>
      </c>
      <c r="J1022" s="21" t="inlineStr">
        <is>
          <t>14.6</t>
        </is>
      </c>
      <c r="K1022" s="20" t="inlineStr">
        <is>
          <t>I70662967</t>
        </is>
      </c>
      <c r="L1022" s="22" t="n">
        <v>5.7</v>
      </c>
      <c r="M1022" s="20">
        <f>IFERROR(LEFT(B1022,SEARCH("_Rev",B1022)-1),B1022)</f>
        <v/>
      </c>
      <c r="N1022" s="20">
        <f>IF(B1022="","",IF(ISNUMBER(C1022),IF(COUNTIFS($M$3:$M$1026,M1022,$C$3:$C$1026,"&gt;"&amp;C1022)=0,"CURRENT","SUPERSEDED"),"CURRENT"))</f>
        <v/>
      </c>
      <c r="O1022" s="19" t="n"/>
    </row>
    <row r="1023">
      <c r="A1023" s="19" t="n"/>
      <c r="B1023" s="20" t="inlineStr">
        <is>
          <t>4503-XH-DL-882U-8920-5278-MFW-01_Rev0</t>
        </is>
      </c>
      <c r="C1023" s="21" t="n">
        <v>0</v>
      </c>
      <c r="D1023" s="21" t="inlineStr">
        <is>
          <t>16.09.2026</t>
        </is>
      </c>
      <c r="E1023" s="20" t="inlineStr">
        <is>
          <t>IFC - ISSUED FOR CONSTRUCTION</t>
        </is>
      </c>
      <c r="F1023" s="21" t="n">
        <v>8920</v>
      </c>
      <c r="G1023" s="20" t="inlineStr">
        <is>
          <t>PIPE MFTR STD PE100 SDR-11 BUTT FUSION JOINT BUTT FUSION JOINT</t>
        </is>
      </c>
      <c r="H1023" s="20" t="inlineStr">
        <is>
          <t>PE100</t>
        </is>
      </c>
      <c r="I1023" s="22" t="n">
        <v>6</v>
      </c>
      <c r="J1023" s="21" t="inlineStr">
        <is>
          <t>14.6</t>
        </is>
      </c>
      <c r="K1023" s="20" t="inlineStr">
        <is>
          <t>I70662967</t>
        </is>
      </c>
      <c r="L1023" s="22" t="n">
        <v>5.7</v>
      </c>
      <c r="M1023" s="20">
        <f>IFERROR(LEFT(B1023,SEARCH("_Rev",B1023)-1),B1023)</f>
        <v/>
      </c>
      <c r="N1023" s="20">
        <f>IF(B1023="","",IF(ISNUMBER(C1023),IF(COUNTIFS($M$3:$M$1026,M1023,$C$3:$C$1026,"&gt;"&amp;C1023)=0,"CURRENT","SUPERSEDED"),"CURRENT"))</f>
        <v/>
      </c>
      <c r="O1023" s="19" t="n"/>
    </row>
    <row r="1024">
      <c r="A1024" s="19" t="n"/>
      <c r="B1024" s="20" t="inlineStr">
        <is>
          <t>4503-XH-DL-891U-8920-5094-MFW-01_Rev0</t>
        </is>
      </c>
      <c r="C1024" s="21" t="n">
        <v>0</v>
      </c>
      <c r="D1024" s="21" t="inlineStr">
        <is>
          <t>16.09.2026</t>
        </is>
      </c>
      <c r="E1024" s="20" t="inlineStr">
        <is>
          <t>IFC - ISSUED FOR CONSTRUCTION</t>
        </is>
      </c>
      <c r="F1024" s="21" t="n">
        <v>8920</v>
      </c>
      <c r="G1024" s="20" t="inlineStr">
        <is>
          <t>PIPE MFTR STD PE100 SDR-11 BUTT FUSION JOINT BUTT FUSION JOINT</t>
        </is>
      </c>
      <c r="H1024" s="20" t="inlineStr">
        <is>
          <t>PE100</t>
        </is>
      </c>
      <c r="I1024" s="22" t="n">
        <v>40</v>
      </c>
      <c r="J1024" s="21" t="inlineStr">
        <is>
          <t>90.8</t>
        </is>
      </c>
      <c r="K1024" s="20" t="inlineStr">
        <is>
          <t>I71746907</t>
        </is>
      </c>
      <c r="L1024" s="22" t="n">
        <v>3.7</v>
      </c>
      <c r="M1024" s="20">
        <f>IFERROR(LEFT(B1024,SEARCH("_Rev",B1024)-1),B1024)</f>
        <v/>
      </c>
      <c r="N1024" s="20">
        <f>IF(B1024="","",IF(ISNUMBER(C1024),IF(COUNTIFS($M$3:$M$1026,M1024,$C$3:$C$1026,"&gt;"&amp;C1024)=0,"CURRENT","SUPERSEDED"),"CURRENT"))</f>
        <v/>
      </c>
      <c r="O1024" s="19" t="n"/>
    </row>
    <row r="1025">
      <c r="A1025" s="19" t="n"/>
      <c r="B1025" s="20" t="inlineStr">
        <is>
          <t>4503-XH-DL-891U-8920-5099-MFW-01_Rev0</t>
        </is>
      </c>
      <c r="C1025" s="21" t="n">
        <v>0</v>
      </c>
      <c r="D1025" s="21" t="inlineStr">
        <is>
          <t>16.09.2026</t>
        </is>
      </c>
      <c r="E1025" s="20" t="inlineStr">
        <is>
          <t>IFC - ISSUED FOR CONSTRUCTION</t>
        </is>
      </c>
      <c r="F1025" s="21" t="n">
        <v>8920</v>
      </c>
      <c r="G1025" s="20" t="inlineStr">
        <is>
          <t>PIPE MFTR STD PE100 SDR-11 BUTT FUSION JOINT BUTT FUSION JOINT</t>
        </is>
      </c>
      <c r="H1025" s="20" t="inlineStr">
        <is>
          <t>PE100</t>
        </is>
      </c>
      <c r="I1025" s="22" t="n">
        <v>40</v>
      </c>
      <c r="J1025" s="21" t="inlineStr">
        <is>
          <t>90.8</t>
        </is>
      </c>
      <c r="K1025" s="20" t="inlineStr">
        <is>
          <t>I71746907</t>
        </is>
      </c>
      <c r="L1025" s="22" t="n">
        <v>38.2</v>
      </c>
      <c r="M1025" s="20">
        <f>IFERROR(LEFT(B1025,SEARCH("_Rev",B1025)-1),B1025)</f>
        <v/>
      </c>
      <c r="N1025" s="20">
        <f>IF(B1025="","",IF(ISNUMBER(C1025),IF(COUNTIFS($M$3:$M$1026,M1025,$C$3:$C$1026,"&gt;"&amp;C1025)=0,"CURRENT","SUPERSEDED"),"CURRENT"))</f>
        <v/>
      </c>
      <c r="O1025" s="19" t="n"/>
    </row>
    <row r="1026">
      <c r="A1026" s="19" t="n"/>
      <c r="B1026" s="27" t="inlineStr">
        <is>
          <t>4503-XH-DL-841U-8920-8403-MFW-01_Rev0</t>
        </is>
      </c>
      <c r="C1026" s="28" t="n">
        <v>0</v>
      </c>
      <c r="D1026" s="28" t="inlineStr">
        <is>
          <t>09.10.2026</t>
        </is>
      </c>
      <c r="E1026" s="27" t="inlineStr">
        <is>
          <t>IFC-ISSUED FOR CONSTRUCTION</t>
        </is>
      </c>
      <c r="F1026" s="28" t="n">
        <v>8920</v>
      </c>
      <c r="G1026" s="27" t="inlineStr">
        <is>
          <t>PIPE MFTR STD PE100 SDR-11 BUTT FUSION JOINT BUTT FUSION JOINT</t>
        </is>
      </c>
      <c r="H1026" s="27" t="inlineStr">
        <is>
          <t>PE100</t>
        </is>
      </c>
      <c r="I1026" s="29" t="n">
        <v>20</v>
      </c>
      <c r="J1026" s="28" t="inlineStr">
        <is>
          <t>45.4</t>
        </is>
      </c>
      <c r="K1026" s="27" t="inlineStr">
        <is>
          <t>I69476441</t>
        </is>
      </c>
      <c r="L1026" s="29" t="n">
        <v>13.7</v>
      </c>
      <c r="M1026" s="27">
        <f>IFERROR(LEFT(B1026,SEARCH("_Rev",B1026)-1),B1026)</f>
        <v/>
      </c>
      <c r="N1026" s="27">
        <f>IF(B1026="","",IF(ISNUMBER(C1026),IF(COUNTIFS($M$3:$M$1026,M1026,$C$3:$C$1026,"&gt;"&amp;C1026)=0,"CURRENT","SUPERSEDED"),"CURRENT"))</f>
        <v/>
      </c>
      <c r="O1026" s="19" t="n"/>
    </row>
    <row r="1027">
      <c r="A1027" s="19" t="n"/>
      <c r="B1027" s="24">
        <f>_xlfn.IFERROR(_xlfn.ROWS(_xlfn.UNIQUE(_xlfn._xlws.FILTER(B3:B1026, (B3:B1026&lt;&gt;"") * (SUBTOTAL(103, OFFSET(B3, ROW(B3:B1026)-ROW(B3), 0, 1, 1))=1)))), 0)</f>
        <v/>
      </c>
      <c r="C1027" s="25" t="n"/>
      <c r="D1027" s="25" t="n"/>
      <c r="E1027" s="25" t="n"/>
      <c r="F1027" s="24">
        <f>_xlfn.IFERROR(_xlfn.ROWS(_xlfn.UNIQUE(_xlfn._xlws.FILTER(F3:F1026, (F3:F1026&lt;&gt;"") * (SUBTOTAL(103, OFFSET(F3, ROW(F3:F1026)-ROW(F3), 0, 1, 1))=1)))), 0)</f>
        <v/>
      </c>
      <c r="G1027" s="25" t="n"/>
      <c r="H1027" s="25" t="n"/>
      <c r="I1027" s="25" t="n"/>
      <c r="J1027" s="25" t="n"/>
      <c r="K1027" s="25" t="n"/>
      <c r="L1027" s="26">
        <f>SUBTOTAL(109, L3:L1026)</f>
        <v/>
      </c>
      <c r="M1027" s="25" t="n"/>
      <c r="N1027" s="25" t="n"/>
      <c r="O1027" s="19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Ansar Shubayev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2026-10-20T04:49:58Z</dcterms:modified>
  <cp:lastModifiedBy>Yuliya Krasnova</cp:lastModifiedBy>
</cp:coreProperties>
</file>